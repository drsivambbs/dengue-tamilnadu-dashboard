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1600" windowHeight="9735" firstSheet="1" activeTab="1"/>
  </bookViews>
  <sheets>
    <sheet name="2024-26 yrs" sheetId="5" r:id="rId1"/>
    <sheet name="Dengue-Month wise- 2024" sheetId="1" r:id="rId2"/>
    <sheet name="Dengue-Month wise- 2025" sheetId="3" r:id="rId3"/>
    <sheet name="Dengue-Month wise- 2026" sheetId="4" r:id="rId4"/>
    <sheet name="Sheet1" sheetId="6" r:id="rId5"/>
  </sheets>
  <externalReferences>
    <externalReference r:id="rId6"/>
  </externalReferences>
  <definedNames>
    <definedName name="_" localSheetId="1">#REF!</definedName>
    <definedName name="_" localSheetId="2">#REF!</definedName>
    <definedName name="_" localSheetId="3">#REF!</definedName>
    <definedName name="_">#REF!</definedName>
    <definedName name="_1_6_06_to_7_6_2006" localSheetId="2">#REF!</definedName>
    <definedName name="_1_6_06_to_7_6_2006" localSheetId="3">#REF!</definedName>
    <definedName name="_1_6_06_to_7_6_2006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xlnm._FilterDatabase" localSheetId="1" hidden="1">'Dengue-Month wise- 2024'!#REF!</definedName>
    <definedName name="_xlnm._FilterDatabase" localSheetId="2" hidden="1">'Dengue-Month wise- 2025'!#REF!</definedName>
    <definedName name="_xlnm._FilterDatabase" localSheetId="3" hidden="1">'Dengue-Month wise- 2026'!#REF!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Pudur" localSheetId="1">#REF!</definedName>
    <definedName name="_Pudur" localSheetId="2">#REF!</definedName>
    <definedName name="_Pudur" localSheetId="3">#REF!</definedName>
    <definedName name="_Pudur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hidden="1">#REF!</definedName>
    <definedName name="a" localSheetId="1">#REF!</definedName>
    <definedName name="a" localSheetId="2">#REF!</definedName>
    <definedName name="a" localSheetId="3">#REF!</definedName>
    <definedName name="a">#REF!</definedName>
    <definedName name="aaa" localSheetId="1">#REF!</definedName>
    <definedName name="aaa" localSheetId="2">#REF!</definedName>
    <definedName name="aaa" localSheetId="3">#REF!</definedName>
    <definedName name="aaa">#REF!</definedName>
    <definedName name="AB" localSheetId="1">#REF!</definedName>
    <definedName name="AB" localSheetId="2">#REF!</definedName>
    <definedName name="AB" localSheetId="3">#REF!</definedName>
    <definedName name="AB">#REF!</definedName>
    <definedName name="abc" localSheetId="1">#REF!</definedName>
    <definedName name="abc" localSheetId="2">#REF!</definedName>
    <definedName name="abc" localSheetId="3">#REF!</definedName>
    <definedName name="abc">#REF!</definedName>
    <definedName name="abs" localSheetId="1">#REF!</definedName>
    <definedName name="abs" localSheetId="2">#REF!</definedName>
    <definedName name="abs" localSheetId="3">#REF!</definedName>
    <definedName name="abs">#REF!</definedName>
    <definedName name="abstract" localSheetId="1">#REF!</definedName>
    <definedName name="abstract" localSheetId="2">#REF!</definedName>
    <definedName name="abstract" localSheetId="3">#REF!</definedName>
    <definedName name="abstract">#REF!</definedName>
    <definedName name="ad" localSheetId="1">#REF!</definedName>
    <definedName name="ad" localSheetId="2">#REF!</definedName>
    <definedName name="ad" localSheetId="3">#REF!</definedName>
    <definedName name="ad">#REF!</definedName>
    <definedName name="Alankulam" localSheetId="1">#REF!</definedName>
    <definedName name="Alankulam" localSheetId="2">#REF!</definedName>
    <definedName name="Alankulam" localSheetId="3">#REF!</definedName>
    <definedName name="Alankulam">#REF!</definedName>
    <definedName name="Andhra_Pradesh" localSheetId="1">#REF!</definedName>
    <definedName name="Andhra_Pradesh" localSheetId="2">#REF!</definedName>
    <definedName name="Andhra_Pradesh" localSheetId="3">#REF!</definedName>
    <definedName name="Andhra_Pradesh">#REF!</definedName>
    <definedName name="arun" localSheetId="1">#REF!</definedName>
    <definedName name="arun" localSheetId="2">#REF!</definedName>
    <definedName name="arun" localSheetId="3">#REF!</definedName>
    <definedName name="arun">#REF!</definedName>
    <definedName name="AS" localSheetId="1">#REF!</definedName>
    <definedName name="AS" localSheetId="2">#REF!</definedName>
    <definedName name="AS" localSheetId="3">#REF!</definedName>
    <definedName name="AS">#REF!</definedName>
    <definedName name="ASN" localSheetId="1">#REF!</definedName>
    <definedName name="ASN" localSheetId="2">#REF!</definedName>
    <definedName name="ASN" localSheetId="3">#REF!</definedName>
    <definedName name="ASN">#REF!</definedName>
    <definedName name="assam" localSheetId="1">#REF!</definedName>
    <definedName name="assam" localSheetId="2">#REF!</definedName>
    <definedName name="assam" localSheetId="3">#REF!</definedName>
    <definedName name="assam">#REF!</definedName>
    <definedName name="Block" localSheetId="1">#REF!</definedName>
    <definedName name="Block" localSheetId="2">#REF!</definedName>
    <definedName name="Block" localSheetId="3">#REF!</definedName>
    <definedName name="Block">#REF!</definedName>
    <definedName name="Bust">#N/A</definedName>
    <definedName name="Continue">#N/A</definedName>
    <definedName name="data" localSheetId="1">#REF!</definedName>
    <definedName name="data" localSheetId="2">#REF!</definedName>
    <definedName name="data" localSheetId="3">#REF!</definedName>
    <definedName name="data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>#REF!</definedName>
    <definedName name="DD_Sex" localSheetId="1">#REF!</definedName>
    <definedName name="DD_Sex" localSheetId="2">#REF!</definedName>
    <definedName name="DD_Sex" localSheetId="3">#REF!</definedName>
    <definedName name="DD_Sex">#REF!</definedName>
    <definedName name="DD_Vaccinated_JE" localSheetId="1">#REF!</definedName>
    <definedName name="DD_Vaccinated_JE" localSheetId="2">#REF!</definedName>
    <definedName name="DD_Vaccinated_JE" localSheetId="3">#REF!</definedName>
    <definedName name="DD_Vaccinated_JE">#REF!</definedName>
    <definedName name="District_Name" localSheetId="2">#REF!</definedName>
    <definedName name="District_Name" localSheetId="3">#REF!</definedName>
    <definedName name="District_Name">#REF!</definedName>
    <definedName name="Document_array">{"Book1","CommuBednet05.xls"}</definedName>
    <definedName name="Documents_array">#N/A</definedName>
    <definedName name="Eng" localSheetId="1">#REF!</definedName>
    <definedName name="Eng" localSheetId="2">#REF!</definedName>
    <definedName name="Eng" localSheetId="3">#REF!</definedName>
    <definedName name="Eng">#REF!</definedName>
    <definedName name="Excel_BuiltIn__FilterDatabase_2" localSheetId="1">#REF!</definedName>
    <definedName name="Excel_BuiltIn__FilterDatabase_2" localSheetId="2">#REF!</definedName>
    <definedName name="Excel_BuiltIn__FilterDatabase_2" localSheetId="3">#REF!</definedName>
    <definedName name="Excel_BuiltIn__FilterDatabase_2">#REF!</definedName>
    <definedName name="Excel_BuiltIn_Print_Titles_2_1">[1]Sheet1!$A$4:$IV$4</definedName>
    <definedName name="f" localSheetId="2">#REF!</definedName>
    <definedName name="f" localSheetId="3">#REF!</definedName>
    <definedName name="f">#REF!</definedName>
    <definedName name="fog" localSheetId="1">#REF!</definedName>
    <definedName name="fog" localSheetId="2">#REF!</definedName>
    <definedName name="fog" localSheetId="3">#REF!</definedName>
    <definedName name="fog">#REF!</definedName>
    <definedName name="fog..." localSheetId="1">#REF!</definedName>
    <definedName name="fog..." localSheetId="2">#REF!</definedName>
    <definedName name="fog..." localSheetId="3">#REF!</definedName>
    <definedName name="fog...">#REF!</definedName>
    <definedName name="ggg" localSheetId="1">#REF!</definedName>
    <definedName name="ggg" localSheetId="2">#REF!</definedName>
    <definedName name="ggg" localSheetId="3">#REF!</definedName>
    <definedName name="ggg">#REF!</definedName>
    <definedName name="Hello">#N/A</definedName>
    <definedName name="HTML_CodePage" hidden="1">1252</definedName>
    <definedName name="HTML_Control" hidden="1">{"'Sheet1'!$A$4386:$N$4591"}</definedName>
    <definedName name="HTML_Description" hidden="1">""</definedName>
    <definedName name="HTML_Email" hidden="1">""</definedName>
    <definedName name="HTML_Header" hidden="1">"Sheet1"</definedName>
    <definedName name="HTML_LastUpdate" hidden="1">"7/1/03"</definedName>
    <definedName name="HTML_LineAfter" hidden="1">FALSE</definedName>
    <definedName name="HTML_LineBefore" hidden="1">FALSE</definedName>
    <definedName name="HTML_Name" hidden="1">"m.p.raval"</definedName>
    <definedName name="HTML_OBDlg2" hidden="1">TRUE</definedName>
    <definedName name="HTML_OBDlg4" hidden="1">TRUE</definedName>
    <definedName name="HTML_OS" hidden="1">0</definedName>
    <definedName name="HTML_PathFile" hidden="1">"A:\MyHTML.htm"</definedName>
    <definedName name="HTML_Title" hidden="1">"SGSDaily Progress Report Piyaj toDharoi Pipeline"</definedName>
    <definedName name="HUD" localSheetId="1">#REF!</definedName>
    <definedName name="HUD" localSheetId="2">#REF!</definedName>
    <definedName name="HUD" localSheetId="3">#REF!</definedName>
    <definedName name="HUD">#REF!</definedName>
    <definedName name="Man" localSheetId="1">#REF!</definedName>
    <definedName name="Man" localSheetId="2">#REF!</definedName>
    <definedName name="Man" localSheetId="3">#REF!</definedName>
    <definedName name="Man">#REF!</definedName>
    <definedName name="October" localSheetId="1">#REF!</definedName>
    <definedName name="October" localSheetId="2">#REF!</definedName>
    <definedName name="October" localSheetId="3">#REF!</definedName>
    <definedName name="October">#REF!</definedName>
    <definedName name="_xlnm.Print_Area" localSheetId="1">'Dengue-Month wise- 2024'!$A$1:$AB$43</definedName>
    <definedName name="_xlnm.Print_Area" localSheetId="2">'Dengue-Month wise- 2025'!$A$1:$AB$43</definedName>
    <definedName name="_xlnm.Print_Area" localSheetId="3">'Dengue-Month wise- 2026'!$A$1:$AB$43</definedName>
    <definedName name="Pudur_" localSheetId="1">#REF!</definedName>
    <definedName name="Pudur_" localSheetId="2">#REF!</definedName>
    <definedName name="Pudur_" localSheetId="3">#REF!</definedName>
    <definedName name="Pudur_">#REF!</definedName>
    <definedName name="rural" localSheetId="1">#REF!</definedName>
    <definedName name="rural" localSheetId="2">#REF!</definedName>
    <definedName name="rural" localSheetId="3">#REF!</definedName>
    <definedName name="rural">#REF!</definedName>
    <definedName name="sept">{"Book1","CommuBednet05.xls"}</definedName>
    <definedName name="ss" localSheetId="1">#REF!</definedName>
    <definedName name="ss" localSheetId="2">#REF!</definedName>
    <definedName name="ss" localSheetId="3">#REF!</definedName>
    <definedName name="ss">#REF!</definedName>
    <definedName name="Stat" localSheetId="1">#REF!</definedName>
    <definedName name="Stat" localSheetId="2">#REF!</definedName>
    <definedName name="Stat" localSheetId="3">#REF!</definedName>
    <definedName name="Stat">#REF!</definedName>
    <definedName name="state" localSheetId="1">#REF!</definedName>
    <definedName name="state" localSheetId="2">#REF!</definedName>
    <definedName name="state" localSheetId="3">#REF!</definedName>
    <definedName name="state">#REF!</definedName>
    <definedName name="Tamil" localSheetId="1">#REF!</definedName>
    <definedName name="Tamil" localSheetId="2">#REF!</definedName>
    <definedName name="Tamil" localSheetId="3">#REF!</definedName>
    <definedName name="Tamil">#REF!</definedName>
    <definedName name="TaxTV">10%</definedName>
    <definedName name="TaxXL">5%</definedName>
    <definedName name="WEB" localSheetId="1">#REF!</definedName>
    <definedName name="WEB" localSheetId="2">#REF!</definedName>
    <definedName name="WEB" localSheetId="3">#REF!</definedName>
    <definedName name="WEB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2" i="4" l="1"/>
  <c r="S40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2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" i="4"/>
  <c r="D42" i="5" l="1"/>
  <c r="C42" i="5"/>
  <c r="B42" i="5"/>
  <c r="N42" i="4" l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" i="1"/>
  <c r="C42" i="3" l="1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D42" i="4" l="1"/>
  <c r="E42" i="4"/>
  <c r="F42" i="4"/>
  <c r="G42" i="4"/>
  <c r="H42" i="4"/>
  <c r="I42" i="4"/>
  <c r="J42" i="4"/>
  <c r="K42" i="4"/>
  <c r="L42" i="4"/>
  <c r="C42" i="4"/>
  <c r="AA42" i="4" l="1"/>
  <c r="AB42" i="4"/>
</calcChain>
</file>

<file path=xl/sharedStrings.xml><?xml version="1.0" encoding="utf-8"?>
<sst xmlns="http://schemas.openxmlformats.org/spreadsheetml/2006/main" count="291" uniqueCount="64">
  <si>
    <t>Sl. 
No</t>
  </si>
  <si>
    <t>Jan</t>
  </si>
  <si>
    <t xml:space="preserve">Feb          </t>
  </si>
  <si>
    <t xml:space="preserve">Mar  </t>
  </si>
  <si>
    <t xml:space="preserve">Apr </t>
  </si>
  <si>
    <t xml:space="preserve">May </t>
  </si>
  <si>
    <t>June</t>
  </si>
  <si>
    <t xml:space="preserve">July </t>
  </si>
  <si>
    <t>Aug</t>
  </si>
  <si>
    <t>Sep</t>
  </si>
  <si>
    <t>Oct</t>
  </si>
  <si>
    <t>Nov</t>
  </si>
  <si>
    <t>Dec</t>
  </si>
  <si>
    <t xml:space="preserve">Total </t>
  </si>
  <si>
    <t>C</t>
  </si>
  <si>
    <t>D</t>
  </si>
  <si>
    <t>State Total</t>
  </si>
  <si>
    <t>C-Case, D-Death</t>
  </si>
  <si>
    <t>District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</si>
  <si>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</si>
  <si>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</si>
  <si>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</si>
  <si>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</si>
  <si>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</si>
  <si>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</si>
  <si>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</si>
  <si>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</si>
  <si>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</si>
  <si>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</si>
  <si>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</si>
  <si>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</si>
  <si>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</si>
  <si>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</si>
  <si>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</si>
  <si>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</si>
  <si>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</si>
  <si>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</si>
  <si>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</si>
  <si>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</si>
  <si>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</si>
  <si>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</si>
  <si>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</si>
  <si>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</si>
  <si>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</si>
  <si>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</si>
  <si>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</si>
  <si>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</si>
  <si>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</si>
  <si>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Tiruchirappalli</t>
  </si>
  <si>
    <t>Tirunelveli</t>
  </si>
  <si>
    <t>Tirupathur</t>
  </si>
  <si>
    <t>Tiruppur</t>
  </si>
  <si>
    <t>Tiruvannamalai</t>
  </si>
  <si>
    <t>Tuticorin</t>
  </si>
  <si>
    <t>Vellore</t>
  </si>
  <si>
    <t>Villupuram</t>
  </si>
  <si>
    <t>Virudhunagar</t>
  </si>
  <si>
    <t xml:space="preserve">Dengue Comparison </t>
  </si>
  <si>
    <t/>
  </si>
  <si>
    <t xml:space="preserve"> Positive</t>
  </si>
  <si>
    <t>June upto 18.06.2026</t>
  </si>
  <si>
    <t xml:space="preserve">  Tamil Nadu-Dengue Cases - Month wise- 2024 (Source:IHIP)</t>
  </si>
  <si>
    <t xml:space="preserve">  Tamil Nadu-Dengue Cases - Month wise- 2025 (Source:IHIP)</t>
  </si>
  <si>
    <t xml:space="preserve">  Tamil Nadu-Dengue Cases - Month wise- 2026 (Source:IHIP)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</si>
</sst>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Bookman Old Style"/>
      <family val="1"/>
    </font>
    <font>
      <b/>
      <sz val="14"/>
      <name val="Bookman Old Style"/>
      <family val="1"/>
    </font>
    <font>
      <b/>
      <sz val="14"/>
      <name val="Arial"/>
      <family val="2"/>
    </font>
    <font>
      <b/>
      <sz val="11"/>
      <name val="Bookman Old Style"/>
      <family val="1"/>
    </font>
    <font>
      <b/>
      <sz val="12"/>
      <name val="Bookman Old Style"/>
      <family val="1"/>
    </font>
    <font>
      <sz val="12"/>
      <name val="Bookman Old Style"/>
      <family val="1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9" fillId="0" borderId="0"/>
  </cellStyleXfs>
  <cellXfs count="32">
    <xf numFmtId="0" fontId="0" fillId="0" borderId="0" xfId="0"/>
    <xf numFmtId="0" fontId="5" fillId="2" borderId="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/>
    </xf>
    <xf numFmtId="0" fontId="7" fillId="2" borderId="2" xfId="2" applyFont="1" applyFill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1" fontId="8" fillId="0" borderId="2" xfId="1" applyNumberFormat="1" applyFont="1" applyBorder="1" applyAlignment="1">
      <alignment horizontal="center" vertical="center"/>
    </xf>
    <xf numFmtId="1" fontId="7" fillId="2" borderId="2" xfId="1" applyNumberFormat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1" fontId="7" fillId="0" borderId="2" xfId="1" applyNumberFormat="1" applyFont="1" applyBorder="1" applyAlignment="1">
      <alignment horizontal="center" vertical="center"/>
    </xf>
    <xf numFmtId="0" fontId="1" fillId="0" borderId="0" xfId="0" applyFont="1"/>
    <xf numFmtId="0" fontId="6" fillId="2" borderId="0" xfId="1" applyFont="1" applyFill="1" applyAlignment="1">
      <alignment horizontal="center"/>
    </xf>
    <xf numFmtId="0" fontId="6" fillId="2" borderId="0" xfId="1" applyFont="1" applyFill="1"/>
    <xf numFmtId="0" fontId="6" fillId="3" borderId="0" xfId="1" applyFont="1" applyFill="1"/>
    <xf numFmtId="1" fontId="8" fillId="2" borderId="2" xfId="1" applyNumberFormat="1" applyFont="1" applyFill="1" applyBorder="1" applyAlignment="1">
      <alignment horizontal="center" vertical="center"/>
    </xf>
    <xf numFmtId="0" fontId="9" fillId="0" borderId="0" xfId="3"/>
    <xf numFmtId="0" fontId="9" fillId="0" borderId="2" xfId="3" applyBorder="1"/>
    <xf numFmtId="0" fontId="10" fillId="0" borderId="2" xfId="3" applyFont="1" applyBorder="1" applyAlignment="1">
      <alignment horizontal="center"/>
    </xf>
    <xf numFmtId="0" fontId="11" fillId="0" borderId="2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 wrapText="1"/>
    </xf>
    <xf numFmtId="0" fontId="9" fillId="0" borderId="2" xfId="3" applyBorder="1" applyAlignment="1">
      <alignment horizontal="center"/>
    </xf>
    <xf numFmtId="0" fontId="11" fillId="0" borderId="2" xfId="3" applyFont="1" applyFill="1" applyBorder="1"/>
    <xf numFmtId="0" fontId="11" fillId="0" borderId="2" xfId="3" applyFont="1" applyBorder="1" applyAlignment="1">
      <alignment horizontal="center"/>
    </xf>
    <xf numFmtId="0" fontId="10" fillId="0" borderId="1" xfId="3" applyFont="1" applyBorder="1" applyAlignment="1">
      <alignment horizont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17" fontId="4" fillId="2" borderId="2" xfId="1" applyNumberFormat="1" applyFont="1" applyFill="1" applyBorder="1" applyAlignment="1">
      <alignment horizontal="center" vertical="center" wrapText="1"/>
    </xf>
    <xf numFmtId="17" fontId="4" fillId="2" borderId="3" xfId="1" applyNumberFormat="1" applyFont="1" applyFill="1" applyBorder="1" applyAlignment="1">
      <alignment horizontal="center" vertical="center" wrapText="1"/>
    </xf>
    <xf numFmtId="17" fontId="4" fillId="2" borderId="4" xfId="1" applyNumberFormat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</cellXfs>
  <cellStyles count="4">
    <cellStyle name="Normal" xfId="0" builtinId="0"/>
    <cellStyle name="Normal 2" xfId="2"/>
    <cellStyle name="Normal 2_goi-7.1.13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USER\AppData\Roaming\Microsoft\Excel\Others\Final%20State%20Death%20Line%20List%20-%20up%20to%20%2017.10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tract-Meeting"/>
      <sheetName val="Abstract-Office 17.10.17"/>
      <sheetName val="1.Conformed Dengue Positive"/>
      <sheetName val="2_Viral Hemorrhagic fever CO-"/>
      <sheetName val="3.Death due to Other disease"/>
      <sheetName val="4.Other Morbidity"/>
      <sheetName val="Abs New"/>
      <sheetName val="Abstract-12.10.17"/>
      <sheetName val="Death Line list 2017-Base"/>
      <sheetName val="DB"/>
      <sheetName val="Abstract-New SSH 8.10.17"/>
      <sheetName val="2_Viral Hemorrhagic fever C (3)"/>
      <sheetName val="2_Viral Hemorrhagic fever C (2)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Ariyalur_Dt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G34" sqref="G34"/>
    </sheetView>
  </sheetViews>
  <sheetFormatPr defaultRowHeight="15" x14ac:dyDescent="0.25"/>
  <cols>
    <col min="1" max="1" width="16.7109375" style="15" customWidth="1"/>
    <col min="2" max="2" width="8.42578125" style="15" customWidth="1"/>
    <col min="3" max="3" width="9.140625" style="15"/>
    <col min="4" max="4" width="10.42578125" style="15" customWidth="1"/>
    <col min="5" max="16384" width="9.140625" style="15"/>
  </cols>
  <sheetData>
    <row r="1" spans="1:4" ht="18.75" x14ac:dyDescent="0.3">
      <c r="A1" s="23" t="s">
        <v>57</v>
      </c>
      <c r="B1" s="23"/>
      <c r="C1" s="23"/>
      <c r="D1" s="23"/>
    </row>
    <row r="2" spans="1:4" ht="15.75" customHeight="1" x14ac:dyDescent="0.3">
      <c r="A2" s="16" t="s">
        <v>58</v>
      </c>
      <c r="B2" s="17">
        <v>2024</v>
      </c>
      <c r="C2" s="17">
        <v>2025</v>
      </c>
      <c r="D2" s="17">
        <v>2026</v>
      </c>
    </row>
    <row r="3" spans="1:4" ht="30" x14ac:dyDescent="0.25">
      <c r="A3" s="18" t="s">
        <v>18</v>
      </c>
      <c r="B3" s="19" t="s">
        <v>59</v>
      </c>
      <c r="C3" s="19" t="s">
        <v>59</v>
      </c>
      <c r="D3" s="19" t="s">
        <v>59</v>
      </c>
    </row>
    <row r="4" spans="1:4" x14ac:dyDescent="0.25">
      <c r="A4" s="16" t="s">
        <v>19</v>
      </c>
      <c r="B4" s="20">
        <v>892</v>
      </c>
      <c r="C4" s="20">
        <v>541</v>
      </c>
      <c r="D4" s="20">
        <v>159</v>
      </c>
    </row>
    <row r="5" spans="1:4" x14ac:dyDescent="0.25">
      <c r="A5" s="16" t="s">
        <v>20</v>
      </c>
      <c r="B5" s="20">
        <v>1220</v>
      </c>
      <c r="C5" s="20">
        <v>983</v>
      </c>
      <c r="D5" s="20">
        <v>260</v>
      </c>
    </row>
    <row r="6" spans="1:4" x14ac:dyDescent="0.25">
      <c r="A6" s="16" t="s">
        <v>21</v>
      </c>
      <c r="B6" s="20">
        <v>7184</v>
      </c>
      <c r="C6" s="20">
        <v>6347</v>
      </c>
      <c r="D6" s="20">
        <v>1433</v>
      </c>
    </row>
    <row r="7" spans="1:4" x14ac:dyDescent="0.25">
      <c r="A7" s="16" t="s">
        <v>22</v>
      </c>
      <c r="B7" s="20">
        <v>6449</v>
      </c>
      <c r="C7" s="20">
        <v>1912</v>
      </c>
      <c r="D7" s="20">
        <v>930</v>
      </c>
    </row>
    <row r="8" spans="1:4" x14ac:dyDescent="0.25">
      <c r="A8" s="16" t="s">
        <v>23</v>
      </c>
      <c r="B8" s="20">
        <v>2050</v>
      </c>
      <c r="C8" s="20">
        <v>1534</v>
      </c>
      <c r="D8" s="20">
        <v>433</v>
      </c>
    </row>
    <row r="9" spans="1:4" x14ac:dyDescent="0.25">
      <c r="A9" s="16" t="s">
        <v>24</v>
      </c>
      <c r="B9" s="20">
        <v>492</v>
      </c>
      <c r="C9" s="20">
        <v>155</v>
      </c>
      <c r="D9" s="20">
        <v>24</v>
      </c>
    </row>
    <row r="10" spans="1:4" x14ac:dyDescent="0.25">
      <c r="A10" s="16" t="s">
        <v>25</v>
      </c>
      <c r="B10" s="20">
        <v>572</v>
      </c>
      <c r="C10" s="20">
        <v>147</v>
      </c>
      <c r="D10" s="20">
        <v>75</v>
      </c>
    </row>
    <row r="11" spans="1:4" x14ac:dyDescent="0.25">
      <c r="A11" s="16" t="s">
        <v>26</v>
      </c>
      <c r="B11" s="20">
        <v>820</v>
      </c>
      <c r="C11" s="20">
        <v>547</v>
      </c>
      <c r="D11" s="20">
        <v>175</v>
      </c>
    </row>
    <row r="12" spans="1:4" x14ac:dyDescent="0.25">
      <c r="A12" s="16" t="s">
        <v>27</v>
      </c>
      <c r="B12" s="20">
        <v>427</v>
      </c>
      <c r="C12" s="20">
        <v>273</v>
      </c>
      <c r="D12" s="20">
        <v>55</v>
      </c>
    </row>
    <row r="13" spans="1:4" x14ac:dyDescent="0.25">
      <c r="A13" s="16" t="s">
        <v>28</v>
      </c>
      <c r="B13" s="20">
        <v>966</v>
      </c>
      <c r="C13" s="20">
        <v>908</v>
      </c>
      <c r="D13" s="20">
        <v>249</v>
      </c>
    </row>
    <row r="14" spans="1:4" x14ac:dyDescent="0.25">
      <c r="A14" s="16" t="s">
        <v>29</v>
      </c>
      <c r="B14" s="20">
        <v>708</v>
      </c>
      <c r="C14" s="20">
        <v>507</v>
      </c>
      <c r="D14" s="20">
        <v>219</v>
      </c>
    </row>
    <row r="15" spans="1:4" x14ac:dyDescent="0.25">
      <c r="A15" s="16" t="s">
        <v>30</v>
      </c>
      <c r="B15" s="20">
        <v>245</v>
      </c>
      <c r="C15" s="20">
        <v>91</v>
      </c>
      <c r="D15" s="20">
        <v>83</v>
      </c>
    </row>
    <row r="16" spans="1:4" x14ac:dyDescent="0.25">
      <c r="A16" s="16" t="s">
        <v>31</v>
      </c>
      <c r="B16" s="20">
        <v>2664</v>
      </c>
      <c r="C16" s="20">
        <v>519</v>
      </c>
      <c r="D16" s="20">
        <v>94</v>
      </c>
    </row>
    <row r="17" spans="1:4" x14ac:dyDescent="0.25">
      <c r="A17" s="16" t="s">
        <v>32</v>
      </c>
      <c r="B17" s="20">
        <v>1128</v>
      </c>
      <c r="C17" s="20">
        <v>249</v>
      </c>
      <c r="D17" s="20">
        <v>112</v>
      </c>
    </row>
    <row r="18" spans="1:4" x14ac:dyDescent="0.25">
      <c r="A18" s="16" t="s">
        <v>33</v>
      </c>
      <c r="B18" s="20">
        <v>397</v>
      </c>
      <c r="C18" s="20">
        <v>364</v>
      </c>
      <c r="D18" s="20">
        <v>59</v>
      </c>
    </row>
    <row r="19" spans="1:4" x14ac:dyDescent="0.25">
      <c r="A19" s="16" t="s">
        <v>34</v>
      </c>
      <c r="B19" s="20">
        <v>255</v>
      </c>
      <c r="C19" s="20">
        <v>190</v>
      </c>
      <c r="D19" s="20">
        <v>52</v>
      </c>
    </row>
    <row r="20" spans="1:4" x14ac:dyDescent="0.25">
      <c r="A20" s="16" t="s">
        <v>35</v>
      </c>
      <c r="B20" s="20">
        <v>920</v>
      </c>
      <c r="C20" s="20">
        <v>326</v>
      </c>
      <c r="D20" s="20">
        <v>83</v>
      </c>
    </row>
    <row r="21" spans="1:4" x14ac:dyDescent="0.25">
      <c r="A21" s="16" t="s">
        <v>36</v>
      </c>
      <c r="B21" s="20">
        <v>466</v>
      </c>
      <c r="C21" s="20">
        <v>235</v>
      </c>
      <c r="D21" s="20">
        <v>54</v>
      </c>
    </row>
    <row r="22" spans="1:4" x14ac:dyDescent="0.25">
      <c r="A22" s="16" t="s">
        <v>37</v>
      </c>
      <c r="B22" s="20">
        <v>847</v>
      </c>
      <c r="C22" s="20">
        <v>531</v>
      </c>
      <c r="D22" s="20">
        <v>195</v>
      </c>
    </row>
    <row r="23" spans="1:4" x14ac:dyDescent="0.25">
      <c r="A23" s="16" t="s">
        <v>38</v>
      </c>
      <c r="B23" s="20">
        <v>664</v>
      </c>
      <c r="C23" s="20">
        <v>271</v>
      </c>
      <c r="D23" s="20">
        <v>188</v>
      </c>
    </row>
    <row r="24" spans="1:4" x14ac:dyDescent="0.25">
      <c r="A24" s="16" t="s">
        <v>39</v>
      </c>
      <c r="B24" s="20">
        <v>382</v>
      </c>
      <c r="C24" s="20">
        <v>333</v>
      </c>
      <c r="D24" s="20">
        <v>73</v>
      </c>
    </row>
    <row r="25" spans="1:4" x14ac:dyDescent="0.25">
      <c r="A25" s="16" t="s">
        <v>40</v>
      </c>
      <c r="B25" s="20">
        <v>970</v>
      </c>
      <c r="C25" s="20">
        <v>399</v>
      </c>
      <c r="D25" s="20">
        <v>120</v>
      </c>
    </row>
    <row r="26" spans="1:4" x14ac:dyDescent="0.25">
      <c r="A26" s="16" t="s">
        <v>41</v>
      </c>
      <c r="B26" s="20">
        <v>424</v>
      </c>
      <c r="C26" s="20">
        <v>140</v>
      </c>
      <c r="D26" s="20">
        <v>60</v>
      </c>
    </row>
    <row r="27" spans="1:4" x14ac:dyDescent="0.25">
      <c r="A27" s="16" t="s">
        <v>42</v>
      </c>
      <c r="B27" s="20">
        <v>625</v>
      </c>
      <c r="C27" s="20">
        <v>240</v>
      </c>
      <c r="D27" s="20">
        <v>147</v>
      </c>
    </row>
    <row r="28" spans="1:4" x14ac:dyDescent="0.25">
      <c r="A28" s="16" t="s">
        <v>43</v>
      </c>
      <c r="B28" s="20">
        <v>1252</v>
      </c>
      <c r="C28" s="20">
        <v>841</v>
      </c>
      <c r="D28" s="20">
        <v>250</v>
      </c>
    </row>
    <row r="29" spans="1:4" x14ac:dyDescent="0.25">
      <c r="A29" s="16" t="s">
        <v>44</v>
      </c>
      <c r="B29" s="20">
        <v>599</v>
      </c>
      <c r="C29" s="20">
        <v>91</v>
      </c>
      <c r="D29" s="20">
        <v>50</v>
      </c>
    </row>
    <row r="30" spans="1:4" x14ac:dyDescent="0.25">
      <c r="A30" s="16" t="s">
        <v>45</v>
      </c>
      <c r="B30" s="20">
        <v>896</v>
      </c>
      <c r="C30" s="20">
        <v>355</v>
      </c>
      <c r="D30" s="20">
        <v>117</v>
      </c>
    </row>
    <row r="31" spans="1:4" x14ac:dyDescent="0.25">
      <c r="A31" s="16" t="s">
        <v>46</v>
      </c>
      <c r="B31" s="20">
        <v>2410</v>
      </c>
      <c r="C31" s="20">
        <v>2143</v>
      </c>
      <c r="D31" s="20">
        <v>285</v>
      </c>
    </row>
    <row r="32" spans="1:4" x14ac:dyDescent="0.25">
      <c r="A32" s="16" t="s">
        <v>47</v>
      </c>
      <c r="B32" s="20">
        <v>317</v>
      </c>
      <c r="C32" s="20">
        <v>298</v>
      </c>
      <c r="D32" s="20">
        <v>103</v>
      </c>
    </row>
    <row r="33" spans="1:4" x14ac:dyDescent="0.25">
      <c r="A33" s="16" t="s">
        <v>48</v>
      </c>
      <c r="B33" s="20">
        <v>1740</v>
      </c>
      <c r="C33" s="20">
        <v>439</v>
      </c>
      <c r="D33" s="20">
        <v>252</v>
      </c>
    </row>
    <row r="34" spans="1:4" x14ac:dyDescent="0.25">
      <c r="A34" s="16" t="s">
        <v>49</v>
      </c>
      <c r="B34" s="20">
        <v>786</v>
      </c>
      <c r="C34" s="20">
        <v>325</v>
      </c>
      <c r="D34" s="20">
        <v>86</v>
      </c>
    </row>
    <row r="35" spans="1:4" x14ac:dyDescent="0.25">
      <c r="A35" s="16" t="s">
        <v>50</v>
      </c>
      <c r="B35" s="20">
        <v>617</v>
      </c>
      <c r="C35" s="20">
        <v>221</v>
      </c>
      <c r="D35" s="20">
        <v>34</v>
      </c>
    </row>
    <row r="36" spans="1:4" x14ac:dyDescent="0.25">
      <c r="A36" s="16" t="s">
        <v>51</v>
      </c>
      <c r="B36" s="20">
        <v>2049</v>
      </c>
      <c r="C36" s="20">
        <v>466</v>
      </c>
      <c r="D36" s="20">
        <v>206</v>
      </c>
    </row>
    <row r="37" spans="1:4" x14ac:dyDescent="0.25">
      <c r="A37" s="16" t="s">
        <v>52</v>
      </c>
      <c r="B37" s="20">
        <v>937</v>
      </c>
      <c r="C37" s="20">
        <v>799</v>
      </c>
      <c r="D37" s="20">
        <v>196</v>
      </c>
    </row>
    <row r="38" spans="1:4" x14ac:dyDescent="0.25">
      <c r="A38" s="16" t="s">
        <v>53</v>
      </c>
      <c r="B38" s="20">
        <v>669</v>
      </c>
      <c r="C38" s="20">
        <v>262</v>
      </c>
      <c r="D38" s="20">
        <v>85</v>
      </c>
    </row>
    <row r="39" spans="1:4" x14ac:dyDescent="0.25">
      <c r="A39" s="16" t="s">
        <v>54</v>
      </c>
      <c r="B39" s="20">
        <v>1220</v>
      </c>
      <c r="C39" s="20">
        <v>559</v>
      </c>
      <c r="D39" s="20">
        <v>85</v>
      </c>
    </row>
    <row r="40" spans="1:4" x14ac:dyDescent="0.25">
      <c r="A40" s="16" t="s">
        <v>55</v>
      </c>
      <c r="B40" s="20">
        <v>1126</v>
      </c>
      <c r="C40" s="20">
        <v>788</v>
      </c>
      <c r="D40" s="20">
        <v>212</v>
      </c>
    </row>
    <row r="41" spans="1:4" x14ac:dyDescent="0.25">
      <c r="A41" s="16" t="s">
        <v>56</v>
      </c>
      <c r="B41" s="20">
        <v>542</v>
      </c>
      <c r="C41" s="20">
        <v>192</v>
      </c>
      <c r="D41" s="20">
        <v>81</v>
      </c>
    </row>
    <row r="42" spans="1:4" x14ac:dyDescent="0.25">
      <c r="A42" s="21" t="s">
        <v>16</v>
      </c>
      <c r="B42" s="22">
        <f t="shared" ref="B42:D42" si="0">SUM(B4:B41)</f>
        <v>46927</v>
      </c>
      <c r="C42" s="22">
        <f t="shared" si="0"/>
        <v>25521</v>
      </c>
      <c r="D42" s="22">
        <f t="shared" si="0"/>
        <v>7374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3"/>
  <sheetViews>
    <sheetView tabSelected="1" view="pageBreakPreview" zoomScaleSheetLayoutView="100" workbookViewId="0">
      <selection sqref="A1:AB1"/>
    </sheetView>
  </sheetViews>
  <sheetFormatPr defaultRowHeight="15" x14ac:dyDescent="0.25"/>
  <cols>
    <col min="1" max="1" width="6.5703125" customWidth="1"/>
    <col min="2" max="2" width="23.42578125" customWidth="1"/>
    <col min="3" max="3" width="8" customWidth="1"/>
    <col min="4" max="4" width="5.7109375" customWidth="1"/>
    <col min="5" max="5" width="8" customWidth="1"/>
    <col min="6" max="6" width="6.140625" customWidth="1"/>
    <col min="7" max="7" width="8" customWidth="1"/>
    <col min="8" max="8" width="6.42578125" customWidth="1"/>
    <col min="9" max="9" width="8" customWidth="1"/>
    <col min="10" max="10" width="6.7109375" customWidth="1"/>
    <col min="11" max="11" width="8" customWidth="1"/>
    <col min="12" max="12" width="5.42578125" customWidth="1"/>
    <col min="13" max="13" width="8" customWidth="1"/>
    <col min="14" max="14" width="5.85546875" customWidth="1"/>
    <col min="15" max="15" width="8" customWidth="1"/>
    <col min="16" max="16" width="6.42578125" customWidth="1"/>
    <col min="17" max="17" width="8" customWidth="1"/>
    <col min="18" max="18" width="6.7109375" customWidth="1"/>
    <col min="19" max="19" width="8" customWidth="1"/>
    <col min="20" max="20" width="5.42578125" customWidth="1"/>
    <col min="21" max="21" width="7.140625" customWidth="1"/>
    <col min="22" max="22" width="5.42578125" customWidth="1"/>
    <col min="23" max="23" width="7.140625" customWidth="1"/>
    <col min="24" max="24" width="5.42578125" customWidth="1"/>
    <col min="25" max="25" width="7.28515625" customWidth="1"/>
    <col min="26" max="26" width="5.42578125" customWidth="1"/>
    <col min="27" max="27" width="11.7109375" customWidth="1"/>
    <col min="28" max="28" width="8" customWidth="1"/>
  </cols>
  <sheetData>
    <row r="1" spans="1:28" ht="35.25" customHeight="1" x14ac:dyDescent="0.25">
      <c r="A1" s="25" t="s">
        <v>61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34.5" customHeight="1" x14ac:dyDescent="0.25">
      <c r="A2" s="24" t="s">
        <v>0</v>
      </c>
      <c r="B2" s="24" t="s">
        <v>18</v>
      </c>
      <c r="C2" s="27" t="s">
        <v>1</v>
      </c>
      <c r="D2" s="27"/>
      <c r="E2" s="27" t="s">
        <v>2</v>
      </c>
      <c r="F2" s="27"/>
      <c r="G2" s="27" t="s">
        <v>3</v>
      </c>
      <c r="H2" s="27"/>
      <c r="I2" s="27" t="s">
        <v>4</v>
      </c>
      <c r="J2" s="27"/>
      <c r="K2" s="27" t="s">
        <v>5</v>
      </c>
      <c r="L2" s="27"/>
      <c r="M2" s="27" t="s">
        <v>6</v>
      </c>
      <c r="N2" s="27"/>
      <c r="O2" s="27" t="s">
        <v>7</v>
      </c>
      <c r="P2" s="27"/>
      <c r="Q2" s="27" t="s">
        <v>8</v>
      </c>
      <c r="R2" s="27"/>
      <c r="S2" s="28" t="s">
        <v>9</v>
      </c>
      <c r="T2" s="29"/>
      <c r="U2" s="28" t="s">
        <v>10</v>
      </c>
      <c r="V2" s="29"/>
      <c r="W2" s="28" t="s">
        <v>11</v>
      </c>
      <c r="X2" s="29"/>
      <c r="Y2" s="28" t="s">
        <v>12</v>
      </c>
      <c r="Z2" s="29"/>
      <c r="AA2" s="24" t="s">
        <v>13</v>
      </c>
      <c r="AB2" s="24"/>
    </row>
    <row r="3" spans="1:28" ht="21" customHeight="1" x14ac:dyDescent="0.25">
      <c r="A3" s="26"/>
      <c r="B3" s="24"/>
      <c r="C3" s="1" t="s">
        <v>14</v>
      </c>
      <c r="D3" s="1" t="s">
        <v>15</v>
      </c>
      <c r="E3" s="1" t="s">
        <v>14</v>
      </c>
      <c r="F3" s="1" t="s">
        <v>15</v>
      </c>
      <c r="G3" s="1" t="s">
        <v>14</v>
      </c>
      <c r="H3" s="1" t="s">
        <v>15</v>
      </c>
      <c r="I3" s="1" t="s">
        <v>14</v>
      </c>
      <c r="J3" s="1" t="s">
        <v>15</v>
      </c>
      <c r="K3" s="1" t="s">
        <v>14</v>
      </c>
      <c r="L3" s="1" t="s">
        <v>15</v>
      </c>
      <c r="M3" s="1" t="s">
        <v>14</v>
      </c>
      <c r="N3" s="1" t="s">
        <v>15</v>
      </c>
      <c r="O3" s="1" t="s">
        <v>14</v>
      </c>
      <c r="P3" s="1" t="s">
        <v>15</v>
      </c>
      <c r="Q3" s="1" t="s">
        <v>14</v>
      </c>
      <c r="R3" s="1" t="s">
        <v>15</v>
      </c>
      <c r="S3" s="1" t="s">
        <v>14</v>
      </c>
      <c r="T3" s="1" t="s">
        <v>15</v>
      </c>
      <c r="U3" s="1" t="s">
        <v>14</v>
      </c>
      <c r="V3" s="1" t="s">
        <v>15</v>
      </c>
      <c r="W3" s="1" t="s">
        <v>14</v>
      </c>
      <c r="X3" s="1" t="s">
        <v>15</v>
      </c>
      <c r="Y3" s="1" t="s">
        <v>14</v>
      </c>
      <c r="Z3" s="1" t="s">
        <v>15</v>
      </c>
      <c r="AA3" s="1" t="s">
        <v>14</v>
      </c>
      <c r="AB3" s="1" t="s">
        <v>15</v>
      </c>
    </row>
    <row r="4" spans="1:28" ht="19.5" customHeight="1" x14ac:dyDescent="0.25">
      <c r="A4" s="2">
        <v>1</v>
      </c>
      <c r="B4" s="3" t="s">
        <v>19</v>
      </c>
      <c r="C4" s="4">
        <v>149</v>
      </c>
      <c r="D4" s="4">
        <v>0</v>
      </c>
      <c r="E4" s="4">
        <v>78</v>
      </c>
      <c r="F4" s="4">
        <v>0</v>
      </c>
      <c r="G4" s="5">
        <v>75</v>
      </c>
      <c r="H4" s="4">
        <v>0</v>
      </c>
      <c r="I4" s="4">
        <v>43</v>
      </c>
      <c r="J4" s="4">
        <v>0</v>
      </c>
      <c r="K4" s="4">
        <v>25</v>
      </c>
      <c r="L4" s="4">
        <v>0</v>
      </c>
      <c r="M4" s="4">
        <v>34</v>
      </c>
      <c r="N4" s="4">
        <v>0</v>
      </c>
      <c r="O4" s="4">
        <v>64</v>
      </c>
      <c r="P4" s="4">
        <v>0</v>
      </c>
      <c r="Q4" s="4">
        <v>79</v>
      </c>
      <c r="R4" s="4">
        <v>0</v>
      </c>
      <c r="S4" s="4">
        <v>78</v>
      </c>
      <c r="T4" s="4">
        <v>0</v>
      </c>
      <c r="U4" s="4">
        <v>63</v>
      </c>
      <c r="V4" s="4">
        <v>0</v>
      </c>
      <c r="W4" s="4">
        <v>117</v>
      </c>
      <c r="X4" s="4">
        <v>0</v>
      </c>
      <c r="Y4" s="4">
        <v>87</v>
      </c>
      <c r="Z4" s="4">
        <v>0</v>
      </c>
      <c r="AA4" s="14">
        <v>892</v>
      </c>
      <c r="AB4" s="6">
        <f>D4+F4+H4+J4+L4+N4+P4+R4+T4+V4+X4+Z4</f>
        <v>0</v>
      </c>
    </row>
    <row r="5" spans="1:28" ht="19.5" customHeight="1" x14ac:dyDescent="0.25">
      <c r="A5" s="2">
        <v>2</v>
      </c>
      <c r="B5" s="3" t="s">
        <v>20</v>
      </c>
      <c r="C5" s="4">
        <v>123</v>
      </c>
      <c r="D5" s="4">
        <v>0</v>
      </c>
      <c r="E5" s="4">
        <v>59</v>
      </c>
      <c r="F5" s="4">
        <v>0</v>
      </c>
      <c r="G5" s="5">
        <v>59</v>
      </c>
      <c r="H5" s="4">
        <v>0</v>
      </c>
      <c r="I5" s="4">
        <v>24</v>
      </c>
      <c r="J5" s="4">
        <v>0</v>
      </c>
      <c r="K5" s="4">
        <v>23</v>
      </c>
      <c r="L5" s="4">
        <v>0</v>
      </c>
      <c r="M5" s="4">
        <v>58</v>
      </c>
      <c r="N5" s="4">
        <v>0</v>
      </c>
      <c r="O5" s="4">
        <v>87</v>
      </c>
      <c r="P5" s="4">
        <v>0</v>
      </c>
      <c r="Q5" s="4">
        <v>135</v>
      </c>
      <c r="R5" s="4">
        <v>1</v>
      </c>
      <c r="S5" s="4">
        <v>140</v>
      </c>
      <c r="T5" s="4">
        <v>0</v>
      </c>
      <c r="U5" s="4">
        <v>162</v>
      </c>
      <c r="V5" s="4">
        <v>0</v>
      </c>
      <c r="W5" s="4">
        <v>228</v>
      </c>
      <c r="X5" s="4">
        <v>1</v>
      </c>
      <c r="Y5" s="4">
        <v>122</v>
      </c>
      <c r="Z5" s="4">
        <v>0</v>
      </c>
      <c r="AA5" s="14">
        <v>1220</v>
      </c>
      <c r="AB5" s="6">
        <f t="shared" ref="AB5:AB41" si="0">D5+F5+H5+J5+L5+N5+P5+R5+T5+V5+X5+Z5</f>
        <v>2</v>
      </c>
    </row>
    <row r="6" spans="1:28" ht="19.5" customHeight="1" x14ac:dyDescent="0.25">
      <c r="A6" s="2">
        <v>3</v>
      </c>
      <c r="B6" s="3" t="s">
        <v>21</v>
      </c>
      <c r="C6" s="4">
        <v>614</v>
      </c>
      <c r="D6" s="4">
        <v>0</v>
      </c>
      <c r="E6" s="4">
        <v>421</v>
      </c>
      <c r="F6" s="4">
        <v>0</v>
      </c>
      <c r="G6" s="5">
        <v>286</v>
      </c>
      <c r="H6" s="4">
        <v>0</v>
      </c>
      <c r="I6" s="4">
        <v>184</v>
      </c>
      <c r="J6" s="4">
        <v>0</v>
      </c>
      <c r="K6" s="4">
        <v>138</v>
      </c>
      <c r="L6" s="4">
        <v>0</v>
      </c>
      <c r="M6" s="4">
        <v>239</v>
      </c>
      <c r="N6" s="4">
        <v>0</v>
      </c>
      <c r="O6" s="4">
        <v>742</v>
      </c>
      <c r="P6" s="4">
        <v>0</v>
      </c>
      <c r="Q6" s="4">
        <v>937</v>
      </c>
      <c r="R6" s="4">
        <v>0</v>
      </c>
      <c r="S6" s="4">
        <v>889</v>
      </c>
      <c r="T6" s="4">
        <v>0</v>
      </c>
      <c r="U6" s="4">
        <v>794</v>
      </c>
      <c r="V6" s="4">
        <v>0</v>
      </c>
      <c r="W6" s="4">
        <v>1111</v>
      </c>
      <c r="X6" s="4">
        <v>0</v>
      </c>
      <c r="Y6" s="4">
        <v>829</v>
      </c>
      <c r="Z6" s="4">
        <v>1</v>
      </c>
      <c r="AA6" s="14">
        <v>7184</v>
      </c>
      <c r="AB6" s="6">
        <f t="shared" si="0"/>
        <v>1</v>
      </c>
    </row>
    <row r="7" spans="1:28" ht="19.5" customHeight="1" x14ac:dyDescent="0.25">
      <c r="A7" s="2">
        <v>4</v>
      </c>
      <c r="B7" s="3" t="s">
        <v>22</v>
      </c>
      <c r="C7" s="4">
        <v>1426</v>
      </c>
      <c r="D7" s="4">
        <v>2</v>
      </c>
      <c r="E7" s="4">
        <v>1138</v>
      </c>
      <c r="F7" s="4">
        <v>0</v>
      </c>
      <c r="G7" s="5">
        <v>672</v>
      </c>
      <c r="H7" s="4">
        <v>0</v>
      </c>
      <c r="I7" s="4">
        <v>218</v>
      </c>
      <c r="J7" s="4">
        <v>0</v>
      </c>
      <c r="K7" s="4">
        <v>144</v>
      </c>
      <c r="L7" s="4">
        <v>0</v>
      </c>
      <c r="M7" s="4">
        <v>249</v>
      </c>
      <c r="N7" s="4">
        <v>0</v>
      </c>
      <c r="O7" s="4">
        <v>480</v>
      </c>
      <c r="P7" s="4">
        <v>0</v>
      </c>
      <c r="Q7" s="4">
        <v>577</v>
      </c>
      <c r="R7" s="4">
        <v>0</v>
      </c>
      <c r="S7" s="4">
        <v>468</v>
      </c>
      <c r="T7" s="4">
        <v>0</v>
      </c>
      <c r="U7" s="4">
        <v>251</v>
      </c>
      <c r="V7" s="4">
        <v>0</v>
      </c>
      <c r="W7" s="4">
        <v>370</v>
      </c>
      <c r="X7" s="4">
        <v>0</v>
      </c>
      <c r="Y7" s="4">
        <v>456</v>
      </c>
      <c r="Z7" s="4">
        <v>0</v>
      </c>
      <c r="AA7" s="14">
        <v>6449</v>
      </c>
      <c r="AB7" s="6">
        <f t="shared" si="0"/>
        <v>2</v>
      </c>
    </row>
    <row r="8" spans="1:28" ht="19.5" customHeight="1" x14ac:dyDescent="0.25">
      <c r="A8" s="2">
        <v>5</v>
      </c>
      <c r="B8" s="3" t="s">
        <v>23</v>
      </c>
      <c r="C8" s="4">
        <v>251</v>
      </c>
      <c r="D8" s="4">
        <v>0</v>
      </c>
      <c r="E8" s="4">
        <v>189</v>
      </c>
      <c r="F8" s="4">
        <v>0</v>
      </c>
      <c r="G8" s="5">
        <v>123</v>
      </c>
      <c r="H8" s="4">
        <v>0</v>
      </c>
      <c r="I8" s="4">
        <v>107</v>
      </c>
      <c r="J8" s="4">
        <v>0</v>
      </c>
      <c r="K8" s="4">
        <v>86</v>
      </c>
      <c r="L8" s="4">
        <v>0</v>
      </c>
      <c r="M8" s="4">
        <v>73</v>
      </c>
      <c r="N8" s="4">
        <v>0</v>
      </c>
      <c r="O8" s="4">
        <v>123</v>
      </c>
      <c r="P8" s="4">
        <v>0</v>
      </c>
      <c r="Q8" s="4">
        <v>174</v>
      </c>
      <c r="R8" s="4">
        <v>0</v>
      </c>
      <c r="S8" s="4">
        <v>216</v>
      </c>
      <c r="T8" s="4">
        <v>0</v>
      </c>
      <c r="U8" s="4">
        <v>225</v>
      </c>
      <c r="V8" s="4">
        <v>0</v>
      </c>
      <c r="W8" s="4">
        <v>274</v>
      </c>
      <c r="X8" s="4">
        <v>0</v>
      </c>
      <c r="Y8" s="4">
        <v>209</v>
      </c>
      <c r="Z8" s="4">
        <v>0</v>
      </c>
      <c r="AA8" s="14">
        <v>2050</v>
      </c>
      <c r="AB8" s="6">
        <f t="shared" si="0"/>
        <v>0</v>
      </c>
    </row>
    <row r="9" spans="1:28" ht="19.5" customHeight="1" x14ac:dyDescent="0.25">
      <c r="A9" s="2">
        <v>6</v>
      </c>
      <c r="B9" s="3" t="s">
        <v>24</v>
      </c>
      <c r="C9" s="4">
        <v>13</v>
      </c>
      <c r="D9" s="4">
        <v>0</v>
      </c>
      <c r="E9" s="4">
        <v>21</v>
      </c>
      <c r="F9" s="4">
        <v>0</v>
      </c>
      <c r="G9" s="5">
        <v>16</v>
      </c>
      <c r="H9" s="4">
        <v>0</v>
      </c>
      <c r="I9" s="4">
        <v>8</v>
      </c>
      <c r="J9" s="4">
        <v>0</v>
      </c>
      <c r="K9" s="4">
        <v>9</v>
      </c>
      <c r="L9" s="4">
        <v>0</v>
      </c>
      <c r="M9" s="4">
        <v>13</v>
      </c>
      <c r="N9" s="4">
        <v>0</v>
      </c>
      <c r="O9" s="4">
        <v>37</v>
      </c>
      <c r="P9" s="4">
        <v>0</v>
      </c>
      <c r="Q9" s="4">
        <v>78</v>
      </c>
      <c r="R9" s="4">
        <v>0</v>
      </c>
      <c r="S9" s="4">
        <v>143</v>
      </c>
      <c r="T9" s="4">
        <v>0</v>
      </c>
      <c r="U9" s="4">
        <v>97</v>
      </c>
      <c r="V9" s="4">
        <v>0</v>
      </c>
      <c r="W9" s="4">
        <v>35</v>
      </c>
      <c r="X9" s="4">
        <v>0</v>
      </c>
      <c r="Y9" s="4">
        <v>22</v>
      </c>
      <c r="Z9" s="4">
        <v>0</v>
      </c>
      <c r="AA9" s="14">
        <v>492</v>
      </c>
      <c r="AB9" s="6">
        <f t="shared" si="0"/>
        <v>0</v>
      </c>
    </row>
    <row r="10" spans="1:28" ht="19.5" customHeight="1" x14ac:dyDescent="0.25">
      <c r="A10" s="2">
        <v>7</v>
      </c>
      <c r="B10" s="3" t="s">
        <v>25</v>
      </c>
      <c r="C10" s="4">
        <v>123</v>
      </c>
      <c r="D10" s="4">
        <v>0</v>
      </c>
      <c r="E10" s="4">
        <v>83</v>
      </c>
      <c r="F10" s="4">
        <v>0</v>
      </c>
      <c r="G10" s="5">
        <v>44</v>
      </c>
      <c r="H10" s="4">
        <v>0</v>
      </c>
      <c r="I10" s="4">
        <v>31</v>
      </c>
      <c r="J10" s="4">
        <v>0</v>
      </c>
      <c r="K10" s="4">
        <v>17</v>
      </c>
      <c r="L10" s="4">
        <v>0</v>
      </c>
      <c r="M10" s="4">
        <v>26</v>
      </c>
      <c r="N10" s="4">
        <v>0</v>
      </c>
      <c r="O10" s="4">
        <v>52</v>
      </c>
      <c r="P10" s="4">
        <v>0</v>
      </c>
      <c r="Q10" s="4">
        <v>49</v>
      </c>
      <c r="R10" s="4">
        <v>0</v>
      </c>
      <c r="S10" s="4">
        <v>40</v>
      </c>
      <c r="T10" s="4">
        <v>0</v>
      </c>
      <c r="U10" s="4">
        <v>28</v>
      </c>
      <c r="V10" s="4">
        <v>0</v>
      </c>
      <c r="W10" s="4">
        <v>37</v>
      </c>
      <c r="X10" s="4">
        <v>0</v>
      </c>
      <c r="Y10" s="4">
        <v>42</v>
      </c>
      <c r="Z10" s="4">
        <v>0</v>
      </c>
      <c r="AA10" s="14">
        <v>572</v>
      </c>
      <c r="AB10" s="6">
        <f t="shared" si="0"/>
        <v>0</v>
      </c>
    </row>
    <row r="11" spans="1:28" ht="19.5" customHeight="1" x14ac:dyDescent="0.25">
      <c r="A11" s="2">
        <v>8</v>
      </c>
      <c r="B11" s="3" t="s">
        <v>26</v>
      </c>
      <c r="C11" s="4">
        <v>161</v>
      </c>
      <c r="D11" s="4">
        <v>0</v>
      </c>
      <c r="E11" s="4">
        <v>85</v>
      </c>
      <c r="F11" s="4">
        <v>0</v>
      </c>
      <c r="G11" s="5">
        <v>57</v>
      </c>
      <c r="H11" s="4">
        <v>0</v>
      </c>
      <c r="I11" s="4">
        <v>29</v>
      </c>
      <c r="J11" s="4">
        <v>0</v>
      </c>
      <c r="K11" s="4">
        <v>16</v>
      </c>
      <c r="L11" s="4">
        <v>0</v>
      </c>
      <c r="M11" s="4">
        <v>31</v>
      </c>
      <c r="N11" s="4">
        <v>0</v>
      </c>
      <c r="O11" s="4">
        <v>45</v>
      </c>
      <c r="P11" s="4">
        <v>0</v>
      </c>
      <c r="Q11" s="4">
        <v>74</v>
      </c>
      <c r="R11" s="4">
        <v>0</v>
      </c>
      <c r="S11" s="4">
        <v>91</v>
      </c>
      <c r="T11" s="4">
        <v>0</v>
      </c>
      <c r="U11" s="4">
        <v>69</v>
      </c>
      <c r="V11" s="4">
        <v>0</v>
      </c>
      <c r="W11" s="4">
        <v>57</v>
      </c>
      <c r="X11" s="4">
        <v>1</v>
      </c>
      <c r="Y11" s="4">
        <v>105</v>
      </c>
      <c r="Z11" s="4">
        <v>0</v>
      </c>
      <c r="AA11" s="14">
        <v>820</v>
      </c>
      <c r="AB11" s="6">
        <f t="shared" si="0"/>
        <v>1</v>
      </c>
    </row>
    <row r="12" spans="1:28" ht="19.5" customHeight="1" x14ac:dyDescent="0.25">
      <c r="A12" s="2">
        <v>9</v>
      </c>
      <c r="B12" s="3" t="s">
        <v>27</v>
      </c>
      <c r="C12" s="4">
        <v>63</v>
      </c>
      <c r="D12" s="4">
        <v>0</v>
      </c>
      <c r="E12" s="4">
        <v>43</v>
      </c>
      <c r="F12" s="4">
        <v>0</v>
      </c>
      <c r="G12" s="5">
        <v>29</v>
      </c>
      <c r="H12" s="4">
        <v>0</v>
      </c>
      <c r="I12" s="4">
        <v>19</v>
      </c>
      <c r="J12" s="4">
        <v>0</v>
      </c>
      <c r="K12" s="4">
        <v>14</v>
      </c>
      <c r="L12" s="4">
        <v>0</v>
      </c>
      <c r="M12" s="4">
        <v>14</v>
      </c>
      <c r="N12" s="4">
        <v>0</v>
      </c>
      <c r="O12" s="4">
        <v>39</v>
      </c>
      <c r="P12" s="4">
        <v>0</v>
      </c>
      <c r="Q12" s="4">
        <v>43</v>
      </c>
      <c r="R12" s="4">
        <v>0</v>
      </c>
      <c r="S12" s="4">
        <v>55</v>
      </c>
      <c r="T12" s="4">
        <v>0</v>
      </c>
      <c r="U12" s="4">
        <v>33</v>
      </c>
      <c r="V12" s="4">
        <v>0</v>
      </c>
      <c r="W12" s="4">
        <v>48</v>
      </c>
      <c r="X12" s="4">
        <v>0</v>
      </c>
      <c r="Y12" s="4">
        <v>27</v>
      </c>
      <c r="Z12" s="4">
        <v>0</v>
      </c>
      <c r="AA12" s="14">
        <v>427</v>
      </c>
      <c r="AB12" s="6">
        <f t="shared" si="0"/>
        <v>0</v>
      </c>
    </row>
    <row r="13" spans="1:28" ht="19.5" customHeight="1" x14ac:dyDescent="0.25">
      <c r="A13" s="2">
        <v>10</v>
      </c>
      <c r="B13" s="3" t="s">
        <v>28</v>
      </c>
      <c r="C13" s="4">
        <v>108</v>
      </c>
      <c r="D13" s="4">
        <v>0</v>
      </c>
      <c r="E13" s="4">
        <v>78</v>
      </c>
      <c r="F13" s="4">
        <v>0</v>
      </c>
      <c r="G13" s="5">
        <v>59</v>
      </c>
      <c r="H13" s="4">
        <v>0</v>
      </c>
      <c r="I13" s="4">
        <v>28</v>
      </c>
      <c r="J13" s="4">
        <v>0</v>
      </c>
      <c r="K13" s="4">
        <v>29</v>
      </c>
      <c r="L13" s="4">
        <v>0</v>
      </c>
      <c r="M13" s="4">
        <v>30</v>
      </c>
      <c r="N13" s="4">
        <v>0</v>
      </c>
      <c r="O13" s="4">
        <v>74</v>
      </c>
      <c r="P13" s="4">
        <v>0</v>
      </c>
      <c r="Q13" s="4">
        <v>155</v>
      </c>
      <c r="R13" s="4">
        <v>0</v>
      </c>
      <c r="S13" s="4">
        <v>117</v>
      </c>
      <c r="T13" s="4">
        <v>0</v>
      </c>
      <c r="U13" s="4">
        <v>97</v>
      </c>
      <c r="V13" s="4">
        <v>0</v>
      </c>
      <c r="W13" s="4">
        <v>118</v>
      </c>
      <c r="X13" s="4">
        <v>0</v>
      </c>
      <c r="Y13" s="4">
        <v>73</v>
      </c>
      <c r="Z13" s="4">
        <v>0</v>
      </c>
      <c r="AA13" s="14">
        <v>966</v>
      </c>
      <c r="AB13" s="6">
        <f t="shared" si="0"/>
        <v>0</v>
      </c>
    </row>
    <row r="14" spans="1:28" ht="19.5" customHeight="1" x14ac:dyDescent="0.25">
      <c r="A14" s="2">
        <v>11</v>
      </c>
      <c r="B14" s="3" t="s">
        <v>29</v>
      </c>
      <c r="C14" s="4">
        <v>134</v>
      </c>
      <c r="D14" s="4">
        <v>0</v>
      </c>
      <c r="E14" s="4">
        <v>55</v>
      </c>
      <c r="F14" s="4">
        <v>0</v>
      </c>
      <c r="G14" s="5">
        <v>36</v>
      </c>
      <c r="H14" s="4">
        <v>0</v>
      </c>
      <c r="I14" s="4">
        <v>13</v>
      </c>
      <c r="J14" s="4">
        <v>0</v>
      </c>
      <c r="K14" s="4">
        <v>19</v>
      </c>
      <c r="L14" s="4">
        <v>0</v>
      </c>
      <c r="M14" s="4">
        <v>35</v>
      </c>
      <c r="N14" s="4">
        <v>0</v>
      </c>
      <c r="O14" s="4">
        <v>93</v>
      </c>
      <c r="P14" s="4">
        <v>0</v>
      </c>
      <c r="Q14" s="4">
        <v>74</v>
      </c>
      <c r="R14" s="4">
        <v>0</v>
      </c>
      <c r="S14" s="4">
        <v>66</v>
      </c>
      <c r="T14" s="4">
        <v>0</v>
      </c>
      <c r="U14" s="4">
        <v>49</v>
      </c>
      <c r="V14" s="4">
        <v>0</v>
      </c>
      <c r="W14" s="4">
        <v>78</v>
      </c>
      <c r="X14" s="4">
        <v>0</v>
      </c>
      <c r="Y14" s="4">
        <v>56</v>
      </c>
      <c r="Z14" s="4">
        <v>0</v>
      </c>
      <c r="AA14" s="14">
        <v>708</v>
      </c>
      <c r="AB14" s="6">
        <f t="shared" si="0"/>
        <v>0</v>
      </c>
    </row>
    <row r="15" spans="1:28" ht="19.5" customHeight="1" x14ac:dyDescent="0.25">
      <c r="A15" s="2">
        <v>12</v>
      </c>
      <c r="B15" s="3" t="s">
        <v>30</v>
      </c>
      <c r="C15" s="4">
        <v>60</v>
      </c>
      <c r="D15" s="4">
        <v>0</v>
      </c>
      <c r="E15" s="4">
        <v>42</v>
      </c>
      <c r="F15" s="4">
        <v>0</v>
      </c>
      <c r="G15" s="5">
        <v>35</v>
      </c>
      <c r="H15" s="4">
        <v>0</v>
      </c>
      <c r="I15" s="4">
        <v>14</v>
      </c>
      <c r="J15" s="4">
        <v>0</v>
      </c>
      <c r="K15" s="4">
        <v>5</v>
      </c>
      <c r="L15" s="4">
        <v>0</v>
      </c>
      <c r="M15" s="4">
        <v>3</v>
      </c>
      <c r="N15" s="4">
        <v>0</v>
      </c>
      <c r="O15" s="4">
        <v>9</v>
      </c>
      <c r="P15" s="4">
        <v>0</v>
      </c>
      <c r="Q15" s="4">
        <v>20</v>
      </c>
      <c r="R15" s="4">
        <v>0</v>
      </c>
      <c r="S15" s="4">
        <v>23</v>
      </c>
      <c r="T15" s="4">
        <v>0</v>
      </c>
      <c r="U15" s="4">
        <v>13</v>
      </c>
      <c r="V15" s="4">
        <v>0</v>
      </c>
      <c r="W15" s="4">
        <v>12</v>
      </c>
      <c r="X15" s="4">
        <v>0</v>
      </c>
      <c r="Y15" s="4">
        <v>9</v>
      </c>
      <c r="Z15" s="4">
        <v>0</v>
      </c>
      <c r="AA15" s="14">
        <v>245</v>
      </c>
      <c r="AB15" s="6">
        <f t="shared" si="0"/>
        <v>0</v>
      </c>
    </row>
    <row r="16" spans="1:28" ht="19.5" customHeight="1" x14ac:dyDescent="0.25">
      <c r="A16" s="2">
        <v>13</v>
      </c>
      <c r="B16" s="3" t="s">
        <v>31</v>
      </c>
      <c r="C16" s="4">
        <v>199</v>
      </c>
      <c r="D16" s="4">
        <v>0</v>
      </c>
      <c r="E16" s="4">
        <v>153</v>
      </c>
      <c r="F16" s="4">
        <v>0</v>
      </c>
      <c r="G16" s="5">
        <v>90</v>
      </c>
      <c r="H16" s="4">
        <v>0</v>
      </c>
      <c r="I16" s="4">
        <v>79</v>
      </c>
      <c r="J16" s="4">
        <v>0</v>
      </c>
      <c r="K16" s="4">
        <v>85</v>
      </c>
      <c r="L16" s="4">
        <v>0</v>
      </c>
      <c r="M16" s="4">
        <v>175</v>
      </c>
      <c r="N16" s="4">
        <v>0</v>
      </c>
      <c r="O16" s="4">
        <v>516</v>
      </c>
      <c r="P16" s="4">
        <v>0</v>
      </c>
      <c r="Q16" s="4">
        <v>440</v>
      </c>
      <c r="R16" s="4">
        <v>0</v>
      </c>
      <c r="S16" s="4">
        <v>470</v>
      </c>
      <c r="T16" s="4">
        <v>0</v>
      </c>
      <c r="U16" s="4">
        <v>233</v>
      </c>
      <c r="V16" s="4">
        <v>0</v>
      </c>
      <c r="W16" s="4">
        <v>142</v>
      </c>
      <c r="X16" s="4">
        <v>0</v>
      </c>
      <c r="Y16" s="4">
        <v>82</v>
      </c>
      <c r="Z16" s="4">
        <v>0</v>
      </c>
      <c r="AA16" s="14">
        <v>2664</v>
      </c>
      <c r="AB16" s="6">
        <f t="shared" si="0"/>
        <v>0</v>
      </c>
    </row>
    <row r="17" spans="1:28" ht="19.5" customHeight="1" x14ac:dyDescent="0.25">
      <c r="A17" s="2">
        <v>14</v>
      </c>
      <c r="B17" s="3" t="s">
        <v>32</v>
      </c>
      <c r="C17" s="4">
        <v>500</v>
      </c>
      <c r="D17" s="4">
        <v>0</v>
      </c>
      <c r="E17" s="4">
        <v>193</v>
      </c>
      <c r="F17" s="4">
        <v>0</v>
      </c>
      <c r="G17" s="5">
        <v>88</v>
      </c>
      <c r="H17" s="4">
        <v>0</v>
      </c>
      <c r="I17" s="4">
        <v>34</v>
      </c>
      <c r="J17" s="4">
        <v>0</v>
      </c>
      <c r="K17" s="4">
        <v>22</v>
      </c>
      <c r="L17" s="4">
        <v>0</v>
      </c>
      <c r="M17" s="4">
        <v>22</v>
      </c>
      <c r="N17" s="4">
        <v>0</v>
      </c>
      <c r="O17" s="4">
        <v>33</v>
      </c>
      <c r="P17" s="4">
        <v>0</v>
      </c>
      <c r="Q17" s="4">
        <v>39</v>
      </c>
      <c r="R17" s="4">
        <v>0</v>
      </c>
      <c r="S17" s="4">
        <v>41</v>
      </c>
      <c r="T17" s="4">
        <v>0</v>
      </c>
      <c r="U17" s="4">
        <v>36</v>
      </c>
      <c r="V17" s="4">
        <v>0</v>
      </c>
      <c r="W17" s="4">
        <v>46</v>
      </c>
      <c r="X17" s="4">
        <v>0</v>
      </c>
      <c r="Y17" s="4">
        <v>74</v>
      </c>
      <c r="Z17" s="4">
        <v>0</v>
      </c>
      <c r="AA17" s="14">
        <v>1128</v>
      </c>
      <c r="AB17" s="6">
        <f t="shared" si="0"/>
        <v>0</v>
      </c>
    </row>
    <row r="18" spans="1:28" ht="19.5" customHeight="1" x14ac:dyDescent="0.25">
      <c r="A18" s="2">
        <v>15</v>
      </c>
      <c r="B18" s="3" t="s">
        <v>33</v>
      </c>
      <c r="C18" s="4">
        <v>16</v>
      </c>
      <c r="D18" s="4">
        <v>0</v>
      </c>
      <c r="E18" s="4">
        <v>16</v>
      </c>
      <c r="F18" s="4">
        <v>0</v>
      </c>
      <c r="G18" s="5">
        <v>15</v>
      </c>
      <c r="H18" s="4">
        <v>0</v>
      </c>
      <c r="I18" s="4">
        <v>10</v>
      </c>
      <c r="J18" s="4">
        <v>0</v>
      </c>
      <c r="K18" s="4">
        <v>10</v>
      </c>
      <c r="L18" s="4">
        <v>0</v>
      </c>
      <c r="M18" s="4">
        <v>8</v>
      </c>
      <c r="N18" s="4">
        <v>0</v>
      </c>
      <c r="O18" s="4">
        <v>18</v>
      </c>
      <c r="P18" s="4">
        <v>0</v>
      </c>
      <c r="Q18" s="4">
        <v>45</v>
      </c>
      <c r="R18" s="4">
        <v>0</v>
      </c>
      <c r="S18" s="4">
        <v>67</v>
      </c>
      <c r="T18" s="4">
        <v>0</v>
      </c>
      <c r="U18" s="4">
        <v>70</v>
      </c>
      <c r="V18" s="4">
        <v>0</v>
      </c>
      <c r="W18" s="4">
        <v>73</v>
      </c>
      <c r="X18" s="4">
        <v>0</v>
      </c>
      <c r="Y18" s="4">
        <v>49</v>
      </c>
      <c r="Z18" s="4">
        <v>0</v>
      </c>
      <c r="AA18" s="14">
        <v>397</v>
      </c>
      <c r="AB18" s="6">
        <f t="shared" si="0"/>
        <v>0</v>
      </c>
    </row>
    <row r="19" spans="1:28" ht="19.5" customHeight="1" x14ac:dyDescent="0.25">
      <c r="A19" s="2">
        <v>16</v>
      </c>
      <c r="B19" s="3" t="s">
        <v>34</v>
      </c>
      <c r="C19" s="4">
        <v>12</v>
      </c>
      <c r="D19" s="4">
        <v>0</v>
      </c>
      <c r="E19" s="4">
        <v>15</v>
      </c>
      <c r="F19" s="4">
        <v>0</v>
      </c>
      <c r="G19" s="5">
        <v>16</v>
      </c>
      <c r="H19" s="4">
        <v>0</v>
      </c>
      <c r="I19" s="4">
        <v>14</v>
      </c>
      <c r="J19" s="4">
        <v>0</v>
      </c>
      <c r="K19" s="4">
        <v>7</v>
      </c>
      <c r="L19" s="4">
        <v>0</v>
      </c>
      <c r="M19" s="4">
        <v>11</v>
      </c>
      <c r="N19" s="4">
        <v>0</v>
      </c>
      <c r="O19" s="4">
        <v>33</v>
      </c>
      <c r="P19" s="4">
        <v>0</v>
      </c>
      <c r="Q19" s="4">
        <v>43</v>
      </c>
      <c r="R19" s="4">
        <v>0</v>
      </c>
      <c r="S19" s="4">
        <v>47</v>
      </c>
      <c r="T19" s="4">
        <v>0</v>
      </c>
      <c r="U19" s="4">
        <v>32</v>
      </c>
      <c r="V19" s="4">
        <v>0</v>
      </c>
      <c r="W19" s="4">
        <v>8</v>
      </c>
      <c r="X19" s="4">
        <v>0</v>
      </c>
      <c r="Y19" s="4">
        <v>17</v>
      </c>
      <c r="Z19" s="4">
        <v>0</v>
      </c>
      <c r="AA19" s="14">
        <v>255</v>
      </c>
      <c r="AB19" s="6">
        <f t="shared" si="0"/>
        <v>0</v>
      </c>
    </row>
    <row r="20" spans="1:28" ht="19.5" customHeight="1" x14ac:dyDescent="0.25">
      <c r="A20" s="2">
        <v>17</v>
      </c>
      <c r="B20" s="3" t="s">
        <v>35</v>
      </c>
      <c r="C20" s="4">
        <v>251</v>
      </c>
      <c r="D20" s="4">
        <v>0</v>
      </c>
      <c r="E20" s="4">
        <v>136</v>
      </c>
      <c r="F20" s="4">
        <v>0</v>
      </c>
      <c r="G20" s="5">
        <v>77</v>
      </c>
      <c r="H20" s="4">
        <v>0</v>
      </c>
      <c r="I20" s="4">
        <v>25</v>
      </c>
      <c r="J20" s="4">
        <v>0</v>
      </c>
      <c r="K20" s="4">
        <v>11</v>
      </c>
      <c r="L20" s="4">
        <v>0</v>
      </c>
      <c r="M20" s="4">
        <v>27</v>
      </c>
      <c r="N20" s="4">
        <v>0</v>
      </c>
      <c r="O20" s="4">
        <v>53</v>
      </c>
      <c r="P20" s="4">
        <v>0</v>
      </c>
      <c r="Q20" s="4">
        <v>54</v>
      </c>
      <c r="R20" s="4">
        <v>1</v>
      </c>
      <c r="S20" s="4">
        <v>96</v>
      </c>
      <c r="T20" s="4">
        <v>0</v>
      </c>
      <c r="U20" s="4">
        <v>60</v>
      </c>
      <c r="V20" s="4">
        <v>0</v>
      </c>
      <c r="W20" s="4">
        <v>64</v>
      </c>
      <c r="X20" s="4">
        <v>0</v>
      </c>
      <c r="Y20" s="4">
        <v>66</v>
      </c>
      <c r="Z20" s="4">
        <v>0</v>
      </c>
      <c r="AA20" s="14">
        <v>920</v>
      </c>
      <c r="AB20" s="6">
        <f t="shared" si="0"/>
        <v>1</v>
      </c>
    </row>
    <row r="21" spans="1:28" ht="19.5" customHeight="1" x14ac:dyDescent="0.25">
      <c r="A21" s="2">
        <v>18</v>
      </c>
      <c r="B21" s="3" t="s">
        <v>36</v>
      </c>
      <c r="C21" s="4">
        <v>106</v>
      </c>
      <c r="D21" s="4">
        <v>0</v>
      </c>
      <c r="E21" s="4">
        <v>61</v>
      </c>
      <c r="F21" s="4">
        <v>0</v>
      </c>
      <c r="G21" s="5">
        <v>57</v>
      </c>
      <c r="H21" s="4">
        <v>0</v>
      </c>
      <c r="I21" s="4">
        <v>17</v>
      </c>
      <c r="J21" s="4">
        <v>0</v>
      </c>
      <c r="K21" s="4">
        <v>8</v>
      </c>
      <c r="L21" s="4">
        <v>0</v>
      </c>
      <c r="M21" s="4">
        <v>9</v>
      </c>
      <c r="N21" s="4">
        <v>0</v>
      </c>
      <c r="O21" s="4">
        <v>14</v>
      </c>
      <c r="P21" s="4">
        <v>0</v>
      </c>
      <c r="Q21" s="4">
        <v>20</v>
      </c>
      <c r="R21" s="4">
        <v>0</v>
      </c>
      <c r="S21" s="4">
        <v>28</v>
      </c>
      <c r="T21" s="4">
        <v>0</v>
      </c>
      <c r="U21" s="4">
        <v>27</v>
      </c>
      <c r="V21" s="4">
        <v>0</v>
      </c>
      <c r="W21" s="4">
        <v>44</v>
      </c>
      <c r="X21" s="4">
        <v>0</v>
      </c>
      <c r="Y21" s="4">
        <v>75</v>
      </c>
      <c r="Z21" s="4">
        <v>1</v>
      </c>
      <c r="AA21" s="14">
        <v>466</v>
      </c>
      <c r="AB21" s="6">
        <f t="shared" si="0"/>
        <v>1</v>
      </c>
    </row>
    <row r="22" spans="1:28" ht="19.5" customHeight="1" x14ac:dyDescent="0.25">
      <c r="A22" s="2">
        <v>19</v>
      </c>
      <c r="B22" s="3" t="s">
        <v>37</v>
      </c>
      <c r="C22" s="4">
        <v>195</v>
      </c>
      <c r="D22" s="4">
        <v>0</v>
      </c>
      <c r="E22" s="4">
        <v>97</v>
      </c>
      <c r="F22" s="4">
        <v>0</v>
      </c>
      <c r="G22" s="5">
        <v>90</v>
      </c>
      <c r="H22" s="4">
        <v>0</v>
      </c>
      <c r="I22" s="4">
        <v>33</v>
      </c>
      <c r="J22" s="4">
        <v>0</v>
      </c>
      <c r="K22" s="4">
        <v>14</v>
      </c>
      <c r="L22" s="4">
        <v>0</v>
      </c>
      <c r="M22" s="4">
        <v>21</v>
      </c>
      <c r="N22" s="4">
        <v>0</v>
      </c>
      <c r="O22" s="4">
        <v>40</v>
      </c>
      <c r="P22" s="4">
        <v>0</v>
      </c>
      <c r="Q22" s="4">
        <v>46</v>
      </c>
      <c r="R22" s="4">
        <v>0</v>
      </c>
      <c r="S22" s="4">
        <v>79</v>
      </c>
      <c r="T22" s="4">
        <v>0</v>
      </c>
      <c r="U22" s="4">
        <v>49</v>
      </c>
      <c r="V22" s="4">
        <v>0</v>
      </c>
      <c r="W22" s="4">
        <v>91</v>
      </c>
      <c r="X22" s="4">
        <v>0</v>
      </c>
      <c r="Y22" s="4">
        <v>92</v>
      </c>
      <c r="Z22" s="4">
        <v>0</v>
      </c>
      <c r="AA22" s="14">
        <v>847</v>
      </c>
      <c r="AB22" s="6">
        <f t="shared" si="0"/>
        <v>0</v>
      </c>
    </row>
    <row r="23" spans="1:28" ht="19.5" customHeight="1" x14ac:dyDescent="0.25">
      <c r="A23" s="2">
        <v>20</v>
      </c>
      <c r="B23" s="3" t="s">
        <v>38</v>
      </c>
      <c r="C23" s="4">
        <v>198</v>
      </c>
      <c r="D23" s="4">
        <v>0</v>
      </c>
      <c r="E23" s="4">
        <v>125</v>
      </c>
      <c r="F23" s="4">
        <v>0</v>
      </c>
      <c r="G23" s="5">
        <v>61</v>
      </c>
      <c r="H23" s="4">
        <v>0</v>
      </c>
      <c r="I23" s="4">
        <v>26</v>
      </c>
      <c r="J23" s="4">
        <v>0</v>
      </c>
      <c r="K23" s="4">
        <v>6</v>
      </c>
      <c r="L23" s="4">
        <v>0</v>
      </c>
      <c r="M23" s="4">
        <v>11</v>
      </c>
      <c r="N23" s="4">
        <v>0</v>
      </c>
      <c r="O23" s="4">
        <v>30</v>
      </c>
      <c r="P23" s="4">
        <v>0</v>
      </c>
      <c r="Q23" s="4">
        <v>29</v>
      </c>
      <c r="R23" s="4">
        <v>0</v>
      </c>
      <c r="S23" s="4">
        <v>42</v>
      </c>
      <c r="T23" s="4">
        <v>0</v>
      </c>
      <c r="U23" s="4">
        <v>30</v>
      </c>
      <c r="V23" s="4">
        <v>0</v>
      </c>
      <c r="W23" s="4">
        <v>69</v>
      </c>
      <c r="X23" s="4">
        <v>0</v>
      </c>
      <c r="Y23" s="4">
        <v>37</v>
      </c>
      <c r="Z23" s="4">
        <v>0</v>
      </c>
      <c r="AA23" s="14">
        <v>664</v>
      </c>
      <c r="AB23" s="6">
        <f t="shared" si="0"/>
        <v>0</v>
      </c>
    </row>
    <row r="24" spans="1:28" ht="19.5" customHeight="1" x14ac:dyDescent="0.25">
      <c r="A24" s="2">
        <v>21</v>
      </c>
      <c r="B24" s="3" t="s">
        <v>39</v>
      </c>
      <c r="C24" s="4">
        <v>53</v>
      </c>
      <c r="D24" s="4">
        <v>0</v>
      </c>
      <c r="E24" s="4">
        <v>39</v>
      </c>
      <c r="F24" s="4">
        <v>0</v>
      </c>
      <c r="G24" s="5">
        <v>37</v>
      </c>
      <c r="H24" s="4">
        <v>0</v>
      </c>
      <c r="I24" s="4">
        <v>17</v>
      </c>
      <c r="J24" s="4">
        <v>0</v>
      </c>
      <c r="K24" s="4">
        <v>12</v>
      </c>
      <c r="L24" s="4">
        <v>0</v>
      </c>
      <c r="M24" s="4">
        <v>5</v>
      </c>
      <c r="N24" s="4">
        <v>0</v>
      </c>
      <c r="O24" s="4">
        <v>14</v>
      </c>
      <c r="P24" s="4">
        <v>0</v>
      </c>
      <c r="Q24" s="4">
        <v>42</v>
      </c>
      <c r="R24" s="4">
        <v>0</v>
      </c>
      <c r="S24" s="4">
        <v>35</v>
      </c>
      <c r="T24" s="4">
        <v>0</v>
      </c>
      <c r="U24" s="4">
        <v>32</v>
      </c>
      <c r="V24" s="4">
        <v>0</v>
      </c>
      <c r="W24" s="4">
        <v>55</v>
      </c>
      <c r="X24" s="4">
        <v>0</v>
      </c>
      <c r="Y24" s="4">
        <v>41</v>
      </c>
      <c r="Z24" s="4">
        <v>1</v>
      </c>
      <c r="AA24" s="14">
        <v>382</v>
      </c>
      <c r="AB24" s="6">
        <f t="shared" si="0"/>
        <v>1</v>
      </c>
    </row>
    <row r="25" spans="1:28" ht="19.5" customHeight="1" x14ac:dyDescent="0.25">
      <c r="A25" s="2">
        <v>22</v>
      </c>
      <c r="B25" s="3" t="s">
        <v>40</v>
      </c>
      <c r="C25" s="4">
        <v>147</v>
      </c>
      <c r="D25" s="4">
        <v>0</v>
      </c>
      <c r="E25" s="4">
        <v>87</v>
      </c>
      <c r="F25" s="4">
        <v>0</v>
      </c>
      <c r="G25" s="5">
        <v>65</v>
      </c>
      <c r="H25" s="4">
        <v>0</v>
      </c>
      <c r="I25" s="4">
        <v>35</v>
      </c>
      <c r="J25" s="4">
        <v>0</v>
      </c>
      <c r="K25" s="4">
        <v>12</v>
      </c>
      <c r="L25" s="4">
        <v>0</v>
      </c>
      <c r="M25" s="4">
        <v>29</v>
      </c>
      <c r="N25" s="4">
        <v>0</v>
      </c>
      <c r="O25" s="4">
        <v>49</v>
      </c>
      <c r="P25" s="4">
        <v>0</v>
      </c>
      <c r="Q25" s="4">
        <v>87</v>
      </c>
      <c r="R25" s="4">
        <v>0</v>
      </c>
      <c r="S25" s="4">
        <v>185</v>
      </c>
      <c r="T25" s="4">
        <v>0</v>
      </c>
      <c r="U25" s="4">
        <v>119</v>
      </c>
      <c r="V25" s="4">
        <v>0</v>
      </c>
      <c r="W25" s="4">
        <v>103</v>
      </c>
      <c r="X25" s="4">
        <v>0</v>
      </c>
      <c r="Y25" s="4">
        <v>52</v>
      </c>
      <c r="Z25" s="4">
        <v>0</v>
      </c>
      <c r="AA25" s="14">
        <v>970</v>
      </c>
      <c r="AB25" s="6">
        <f t="shared" si="0"/>
        <v>0</v>
      </c>
    </row>
    <row r="26" spans="1:28" ht="19.5" customHeight="1" x14ac:dyDescent="0.25">
      <c r="A26" s="2">
        <v>23</v>
      </c>
      <c r="B26" s="3" t="s">
        <v>41</v>
      </c>
      <c r="C26" s="4">
        <v>177</v>
      </c>
      <c r="D26" s="4">
        <v>0</v>
      </c>
      <c r="E26" s="4">
        <v>59</v>
      </c>
      <c r="F26" s="4">
        <v>0</v>
      </c>
      <c r="G26" s="5">
        <v>25</v>
      </c>
      <c r="H26" s="4">
        <v>0</v>
      </c>
      <c r="I26" s="4">
        <v>17</v>
      </c>
      <c r="J26" s="4">
        <v>0</v>
      </c>
      <c r="K26" s="4">
        <v>17</v>
      </c>
      <c r="L26" s="4">
        <v>0</v>
      </c>
      <c r="M26" s="4">
        <v>11</v>
      </c>
      <c r="N26" s="4">
        <v>0</v>
      </c>
      <c r="O26" s="4">
        <v>18</v>
      </c>
      <c r="P26" s="4">
        <v>0</v>
      </c>
      <c r="Q26" s="4">
        <v>25</v>
      </c>
      <c r="R26" s="4">
        <v>0</v>
      </c>
      <c r="S26" s="4">
        <v>24</v>
      </c>
      <c r="T26" s="4">
        <v>0</v>
      </c>
      <c r="U26" s="4">
        <v>15</v>
      </c>
      <c r="V26" s="4">
        <v>0</v>
      </c>
      <c r="W26" s="4">
        <v>14</v>
      </c>
      <c r="X26" s="4">
        <v>0</v>
      </c>
      <c r="Y26" s="4">
        <v>22</v>
      </c>
      <c r="Z26" s="4">
        <v>0</v>
      </c>
      <c r="AA26" s="14">
        <v>424</v>
      </c>
      <c r="AB26" s="6">
        <f t="shared" si="0"/>
        <v>0</v>
      </c>
    </row>
    <row r="27" spans="1:28" ht="19.5" customHeight="1" x14ac:dyDescent="0.25">
      <c r="A27" s="2">
        <v>24</v>
      </c>
      <c r="B27" s="3" t="s">
        <v>42</v>
      </c>
      <c r="C27" s="4">
        <v>183</v>
      </c>
      <c r="D27" s="4">
        <v>0</v>
      </c>
      <c r="E27" s="4">
        <v>146</v>
      </c>
      <c r="F27" s="4">
        <v>0</v>
      </c>
      <c r="G27" s="5">
        <v>40</v>
      </c>
      <c r="H27" s="4">
        <v>0</v>
      </c>
      <c r="I27" s="4">
        <v>21</v>
      </c>
      <c r="J27" s="4">
        <v>0</v>
      </c>
      <c r="K27" s="4">
        <v>10</v>
      </c>
      <c r="L27" s="4">
        <v>0</v>
      </c>
      <c r="M27" s="4">
        <v>13</v>
      </c>
      <c r="N27" s="4">
        <v>0</v>
      </c>
      <c r="O27" s="4">
        <v>26</v>
      </c>
      <c r="P27" s="4">
        <v>0</v>
      </c>
      <c r="Q27" s="4">
        <v>24</v>
      </c>
      <c r="R27" s="4">
        <v>0</v>
      </c>
      <c r="S27" s="4">
        <v>20</v>
      </c>
      <c r="T27" s="4">
        <v>0</v>
      </c>
      <c r="U27" s="4">
        <v>27</v>
      </c>
      <c r="V27" s="4">
        <v>0</v>
      </c>
      <c r="W27" s="4">
        <v>43</v>
      </c>
      <c r="X27" s="4">
        <v>0</v>
      </c>
      <c r="Y27" s="4">
        <v>72</v>
      </c>
      <c r="Z27" s="4">
        <v>0</v>
      </c>
      <c r="AA27" s="14">
        <v>625</v>
      </c>
      <c r="AB27" s="6">
        <f t="shared" si="0"/>
        <v>0</v>
      </c>
    </row>
    <row r="28" spans="1:28" ht="19.5" customHeight="1" x14ac:dyDescent="0.25">
      <c r="A28" s="2">
        <v>25</v>
      </c>
      <c r="B28" s="3" t="s">
        <v>43</v>
      </c>
      <c r="C28" s="4">
        <v>167</v>
      </c>
      <c r="D28" s="4">
        <v>0</v>
      </c>
      <c r="E28" s="4">
        <v>131</v>
      </c>
      <c r="F28" s="4">
        <v>0</v>
      </c>
      <c r="G28" s="5">
        <v>110</v>
      </c>
      <c r="H28" s="4">
        <v>0</v>
      </c>
      <c r="I28" s="4">
        <v>73</v>
      </c>
      <c r="J28" s="4">
        <v>0</v>
      </c>
      <c r="K28" s="4">
        <v>73</v>
      </c>
      <c r="L28" s="4">
        <v>0</v>
      </c>
      <c r="M28" s="4">
        <v>46</v>
      </c>
      <c r="N28" s="4">
        <v>0</v>
      </c>
      <c r="O28" s="4">
        <v>69</v>
      </c>
      <c r="P28" s="4">
        <v>0</v>
      </c>
      <c r="Q28" s="4">
        <v>92</v>
      </c>
      <c r="R28" s="4">
        <v>0</v>
      </c>
      <c r="S28" s="4">
        <v>122</v>
      </c>
      <c r="T28" s="4">
        <v>0</v>
      </c>
      <c r="U28" s="4">
        <v>109</v>
      </c>
      <c r="V28" s="4">
        <v>0</v>
      </c>
      <c r="W28" s="4">
        <v>122</v>
      </c>
      <c r="X28" s="4">
        <v>0</v>
      </c>
      <c r="Y28" s="4">
        <v>138</v>
      </c>
      <c r="Z28" s="4">
        <v>1</v>
      </c>
      <c r="AA28" s="14">
        <v>1252</v>
      </c>
      <c r="AB28" s="6">
        <f t="shared" si="0"/>
        <v>1</v>
      </c>
    </row>
    <row r="29" spans="1:28" ht="19.5" customHeight="1" x14ac:dyDescent="0.25">
      <c r="A29" s="2">
        <v>26</v>
      </c>
      <c r="B29" s="3" t="s">
        <v>45</v>
      </c>
      <c r="C29" s="4">
        <v>155</v>
      </c>
      <c r="D29" s="4">
        <v>0</v>
      </c>
      <c r="E29" s="4">
        <v>196</v>
      </c>
      <c r="F29" s="4">
        <v>0</v>
      </c>
      <c r="G29" s="5">
        <v>182</v>
      </c>
      <c r="H29" s="4">
        <v>0</v>
      </c>
      <c r="I29" s="4">
        <v>58</v>
      </c>
      <c r="J29" s="4">
        <v>0</v>
      </c>
      <c r="K29" s="4">
        <v>26</v>
      </c>
      <c r="L29" s="4">
        <v>0</v>
      </c>
      <c r="M29" s="4">
        <v>26</v>
      </c>
      <c r="N29" s="4">
        <v>0</v>
      </c>
      <c r="O29" s="4">
        <v>48</v>
      </c>
      <c r="P29" s="4">
        <v>0</v>
      </c>
      <c r="Q29" s="4">
        <v>29</v>
      </c>
      <c r="R29" s="4">
        <v>0</v>
      </c>
      <c r="S29" s="4">
        <v>40</v>
      </c>
      <c r="T29" s="4">
        <v>0</v>
      </c>
      <c r="U29" s="4">
        <v>31</v>
      </c>
      <c r="V29" s="4">
        <v>0</v>
      </c>
      <c r="W29" s="4">
        <v>60</v>
      </c>
      <c r="X29" s="4">
        <v>0</v>
      </c>
      <c r="Y29" s="4">
        <v>45</v>
      </c>
      <c r="Z29" s="4">
        <v>0</v>
      </c>
      <c r="AA29" s="14">
        <v>896</v>
      </c>
      <c r="AB29" s="6">
        <f t="shared" si="0"/>
        <v>0</v>
      </c>
    </row>
    <row r="30" spans="1:28" ht="19.5" customHeight="1" x14ac:dyDescent="0.25">
      <c r="A30" s="2">
        <v>27</v>
      </c>
      <c r="B30" s="3" t="s">
        <v>44</v>
      </c>
      <c r="C30" s="4">
        <v>71</v>
      </c>
      <c r="D30" s="4">
        <v>0</v>
      </c>
      <c r="E30" s="4">
        <v>41</v>
      </c>
      <c r="F30" s="4">
        <v>0</v>
      </c>
      <c r="G30" s="5">
        <v>34</v>
      </c>
      <c r="H30" s="4">
        <v>0</v>
      </c>
      <c r="I30" s="4">
        <v>38</v>
      </c>
      <c r="J30" s="4">
        <v>0</v>
      </c>
      <c r="K30" s="4">
        <v>38</v>
      </c>
      <c r="L30" s="4">
        <v>0</v>
      </c>
      <c r="M30" s="4">
        <v>138</v>
      </c>
      <c r="N30" s="4">
        <v>0</v>
      </c>
      <c r="O30" s="4">
        <v>119</v>
      </c>
      <c r="P30" s="4">
        <v>0</v>
      </c>
      <c r="Q30" s="4">
        <v>44</v>
      </c>
      <c r="R30" s="4">
        <v>0</v>
      </c>
      <c r="S30" s="4">
        <v>26</v>
      </c>
      <c r="T30" s="4">
        <v>1</v>
      </c>
      <c r="U30" s="4">
        <v>21</v>
      </c>
      <c r="V30" s="4">
        <v>0</v>
      </c>
      <c r="W30" s="4">
        <v>15</v>
      </c>
      <c r="X30" s="4">
        <v>0</v>
      </c>
      <c r="Y30" s="4">
        <v>14</v>
      </c>
      <c r="Z30" s="4">
        <v>0</v>
      </c>
      <c r="AA30" s="14">
        <v>599</v>
      </c>
      <c r="AB30" s="6">
        <f t="shared" si="0"/>
        <v>1</v>
      </c>
    </row>
    <row r="31" spans="1:28" ht="19.5" customHeight="1" x14ac:dyDescent="0.25">
      <c r="A31" s="2">
        <v>28</v>
      </c>
      <c r="B31" s="3" t="s">
        <v>46</v>
      </c>
      <c r="C31" s="4">
        <v>215</v>
      </c>
      <c r="D31" s="4">
        <v>0</v>
      </c>
      <c r="E31" s="4">
        <v>138</v>
      </c>
      <c r="F31" s="4">
        <v>0</v>
      </c>
      <c r="G31" s="5">
        <v>86</v>
      </c>
      <c r="H31" s="4">
        <v>0</v>
      </c>
      <c r="I31" s="4">
        <v>52</v>
      </c>
      <c r="J31" s="4">
        <v>0</v>
      </c>
      <c r="K31" s="4">
        <v>51</v>
      </c>
      <c r="L31" s="4">
        <v>0</v>
      </c>
      <c r="M31" s="4">
        <v>43</v>
      </c>
      <c r="N31" s="4">
        <v>0</v>
      </c>
      <c r="O31" s="4">
        <v>143</v>
      </c>
      <c r="P31" s="4">
        <v>0</v>
      </c>
      <c r="Q31" s="4">
        <v>279</v>
      </c>
      <c r="R31" s="4">
        <v>0</v>
      </c>
      <c r="S31" s="4">
        <v>338</v>
      </c>
      <c r="T31" s="4">
        <v>0</v>
      </c>
      <c r="U31" s="4">
        <v>365</v>
      </c>
      <c r="V31" s="4">
        <v>0</v>
      </c>
      <c r="W31" s="4">
        <v>401</v>
      </c>
      <c r="X31" s="4">
        <v>0</v>
      </c>
      <c r="Y31" s="4">
        <v>299</v>
      </c>
      <c r="Z31" s="4">
        <v>0</v>
      </c>
      <c r="AA31" s="14">
        <v>2410</v>
      </c>
      <c r="AB31" s="6">
        <f t="shared" si="0"/>
        <v>0</v>
      </c>
    </row>
    <row r="32" spans="1:28" ht="19.5" customHeight="1" x14ac:dyDescent="0.25">
      <c r="A32" s="2">
        <v>29</v>
      </c>
      <c r="B32" s="3" t="s">
        <v>47</v>
      </c>
      <c r="C32" s="4">
        <v>46</v>
      </c>
      <c r="D32" s="4">
        <v>0</v>
      </c>
      <c r="E32" s="4">
        <v>21</v>
      </c>
      <c r="F32" s="4">
        <v>0</v>
      </c>
      <c r="G32" s="5">
        <v>23</v>
      </c>
      <c r="H32" s="4">
        <v>0</v>
      </c>
      <c r="I32" s="4">
        <v>14</v>
      </c>
      <c r="J32" s="4">
        <v>0</v>
      </c>
      <c r="K32" s="4">
        <v>10</v>
      </c>
      <c r="L32" s="4">
        <v>0</v>
      </c>
      <c r="M32" s="4">
        <v>17</v>
      </c>
      <c r="N32" s="4">
        <v>0</v>
      </c>
      <c r="O32" s="4">
        <v>31</v>
      </c>
      <c r="P32" s="4">
        <v>0</v>
      </c>
      <c r="Q32" s="4">
        <v>36</v>
      </c>
      <c r="R32" s="4">
        <v>0</v>
      </c>
      <c r="S32" s="4">
        <v>34</v>
      </c>
      <c r="T32" s="4">
        <v>0</v>
      </c>
      <c r="U32" s="4">
        <v>19</v>
      </c>
      <c r="V32" s="4">
        <v>0</v>
      </c>
      <c r="W32" s="4">
        <v>28</v>
      </c>
      <c r="X32" s="4">
        <v>0</v>
      </c>
      <c r="Y32" s="4">
        <v>38</v>
      </c>
      <c r="Z32" s="4">
        <v>0</v>
      </c>
      <c r="AA32" s="14">
        <v>317</v>
      </c>
      <c r="AB32" s="6">
        <f t="shared" si="0"/>
        <v>0</v>
      </c>
    </row>
    <row r="33" spans="1:28" ht="19.5" customHeight="1" x14ac:dyDescent="0.25">
      <c r="A33" s="2">
        <v>30</v>
      </c>
      <c r="B33" s="3" t="s">
        <v>48</v>
      </c>
      <c r="C33" s="4">
        <v>432</v>
      </c>
      <c r="D33" s="4">
        <v>0</v>
      </c>
      <c r="E33" s="4">
        <v>214</v>
      </c>
      <c r="F33" s="4">
        <v>0</v>
      </c>
      <c r="G33" s="5">
        <v>161</v>
      </c>
      <c r="H33" s="4">
        <v>0</v>
      </c>
      <c r="I33" s="4">
        <v>82</v>
      </c>
      <c r="J33" s="4">
        <v>0</v>
      </c>
      <c r="K33" s="4">
        <v>27</v>
      </c>
      <c r="L33" s="4">
        <v>0</v>
      </c>
      <c r="M33" s="4">
        <v>55</v>
      </c>
      <c r="N33" s="4">
        <v>0</v>
      </c>
      <c r="O33" s="4">
        <v>158</v>
      </c>
      <c r="P33" s="4">
        <v>0</v>
      </c>
      <c r="Q33" s="4">
        <v>157</v>
      </c>
      <c r="R33" s="4">
        <v>0</v>
      </c>
      <c r="S33" s="4">
        <v>146</v>
      </c>
      <c r="T33" s="4">
        <v>0</v>
      </c>
      <c r="U33" s="4">
        <v>84</v>
      </c>
      <c r="V33" s="4">
        <v>0</v>
      </c>
      <c r="W33" s="4">
        <v>124</v>
      </c>
      <c r="X33" s="4">
        <v>0</v>
      </c>
      <c r="Y33" s="4">
        <v>100</v>
      </c>
      <c r="Z33" s="4">
        <v>0</v>
      </c>
      <c r="AA33" s="14">
        <v>1740</v>
      </c>
      <c r="AB33" s="6">
        <f t="shared" si="0"/>
        <v>0</v>
      </c>
    </row>
    <row r="34" spans="1:28" ht="19.5" customHeight="1" x14ac:dyDescent="0.25">
      <c r="A34" s="2">
        <v>31</v>
      </c>
      <c r="B34" s="3" t="s">
        <v>49</v>
      </c>
      <c r="C34" s="4">
        <v>310</v>
      </c>
      <c r="D34" s="4">
        <v>0</v>
      </c>
      <c r="E34" s="4">
        <v>187</v>
      </c>
      <c r="F34" s="4">
        <v>0</v>
      </c>
      <c r="G34" s="5">
        <v>49</v>
      </c>
      <c r="H34" s="4">
        <v>0</v>
      </c>
      <c r="I34" s="4">
        <v>21</v>
      </c>
      <c r="J34" s="4">
        <v>0</v>
      </c>
      <c r="K34" s="4">
        <v>5</v>
      </c>
      <c r="L34" s="4">
        <v>0</v>
      </c>
      <c r="M34" s="4">
        <v>6</v>
      </c>
      <c r="N34" s="4">
        <v>0</v>
      </c>
      <c r="O34" s="4">
        <v>11</v>
      </c>
      <c r="P34" s="4">
        <v>0</v>
      </c>
      <c r="Q34" s="4">
        <v>27</v>
      </c>
      <c r="R34" s="4">
        <v>0</v>
      </c>
      <c r="S34" s="4">
        <v>12</v>
      </c>
      <c r="T34" s="4">
        <v>0</v>
      </c>
      <c r="U34" s="4">
        <v>19</v>
      </c>
      <c r="V34" s="4">
        <v>0</v>
      </c>
      <c r="W34" s="4">
        <v>62</v>
      </c>
      <c r="X34" s="4">
        <v>0</v>
      </c>
      <c r="Y34" s="4">
        <v>77</v>
      </c>
      <c r="Z34" s="4">
        <v>0</v>
      </c>
      <c r="AA34" s="14">
        <v>786</v>
      </c>
      <c r="AB34" s="6">
        <f t="shared" si="0"/>
        <v>0</v>
      </c>
    </row>
    <row r="35" spans="1:28" ht="19.5" customHeight="1" x14ac:dyDescent="0.25">
      <c r="A35" s="2">
        <v>32</v>
      </c>
      <c r="B35" s="3" t="s">
        <v>50</v>
      </c>
      <c r="C35" s="4">
        <v>57</v>
      </c>
      <c r="D35" s="4">
        <v>0</v>
      </c>
      <c r="E35" s="4">
        <v>33</v>
      </c>
      <c r="F35" s="4">
        <v>0</v>
      </c>
      <c r="G35" s="5">
        <v>20</v>
      </c>
      <c r="H35" s="4">
        <v>0</v>
      </c>
      <c r="I35" s="4">
        <v>11</v>
      </c>
      <c r="J35" s="4">
        <v>0</v>
      </c>
      <c r="K35" s="4">
        <v>8</v>
      </c>
      <c r="L35" s="4">
        <v>0</v>
      </c>
      <c r="M35" s="4">
        <v>13</v>
      </c>
      <c r="N35" s="4">
        <v>0</v>
      </c>
      <c r="O35" s="4">
        <v>82</v>
      </c>
      <c r="P35" s="4">
        <v>0</v>
      </c>
      <c r="Q35" s="4">
        <v>123</v>
      </c>
      <c r="R35" s="4">
        <v>1</v>
      </c>
      <c r="S35" s="4">
        <v>121</v>
      </c>
      <c r="T35" s="4">
        <v>1</v>
      </c>
      <c r="U35" s="4">
        <v>100</v>
      </c>
      <c r="V35" s="4">
        <v>0</v>
      </c>
      <c r="W35" s="4">
        <v>28</v>
      </c>
      <c r="X35" s="4">
        <v>0</v>
      </c>
      <c r="Y35" s="4">
        <v>21</v>
      </c>
      <c r="Z35" s="4">
        <v>0</v>
      </c>
      <c r="AA35" s="14">
        <v>617</v>
      </c>
      <c r="AB35" s="6">
        <f t="shared" si="0"/>
        <v>2</v>
      </c>
    </row>
    <row r="36" spans="1:28" ht="19.5" customHeight="1" x14ac:dyDescent="0.25">
      <c r="A36" s="2">
        <v>33</v>
      </c>
      <c r="B36" s="3" t="s">
        <v>51</v>
      </c>
      <c r="C36" s="4">
        <v>486</v>
      </c>
      <c r="D36" s="4">
        <v>0</v>
      </c>
      <c r="E36" s="4">
        <v>378</v>
      </c>
      <c r="F36" s="4">
        <v>0</v>
      </c>
      <c r="G36" s="5">
        <v>234</v>
      </c>
      <c r="H36" s="4">
        <v>0</v>
      </c>
      <c r="I36" s="4">
        <v>67</v>
      </c>
      <c r="J36" s="4">
        <v>0</v>
      </c>
      <c r="K36" s="4">
        <v>21</v>
      </c>
      <c r="L36" s="4">
        <v>0</v>
      </c>
      <c r="M36" s="4">
        <v>37</v>
      </c>
      <c r="N36" s="4">
        <v>0</v>
      </c>
      <c r="O36" s="4">
        <v>86</v>
      </c>
      <c r="P36" s="4">
        <v>0</v>
      </c>
      <c r="Q36" s="4">
        <v>134</v>
      </c>
      <c r="R36" s="4">
        <v>0</v>
      </c>
      <c r="S36" s="4">
        <v>140</v>
      </c>
      <c r="T36" s="4">
        <v>0</v>
      </c>
      <c r="U36" s="4">
        <v>131</v>
      </c>
      <c r="V36" s="4">
        <v>0</v>
      </c>
      <c r="W36" s="4">
        <v>161</v>
      </c>
      <c r="X36" s="4">
        <v>0</v>
      </c>
      <c r="Y36" s="4">
        <v>174</v>
      </c>
      <c r="Z36" s="4">
        <v>0</v>
      </c>
      <c r="AA36" s="14">
        <v>2049</v>
      </c>
      <c r="AB36" s="6">
        <f t="shared" si="0"/>
        <v>0</v>
      </c>
    </row>
    <row r="37" spans="1:28" ht="19.5" customHeight="1" x14ac:dyDescent="0.25">
      <c r="A37" s="2">
        <v>34</v>
      </c>
      <c r="B37" s="3" t="s">
        <v>52</v>
      </c>
      <c r="C37" s="4">
        <v>124</v>
      </c>
      <c r="D37" s="4">
        <v>0</v>
      </c>
      <c r="E37" s="4">
        <v>60</v>
      </c>
      <c r="F37" s="4">
        <v>0</v>
      </c>
      <c r="G37" s="5">
        <v>58</v>
      </c>
      <c r="H37" s="4">
        <v>0</v>
      </c>
      <c r="I37" s="4">
        <v>39</v>
      </c>
      <c r="J37" s="4">
        <v>0</v>
      </c>
      <c r="K37" s="4">
        <v>32</v>
      </c>
      <c r="L37" s="4">
        <v>0</v>
      </c>
      <c r="M37" s="4">
        <v>29</v>
      </c>
      <c r="N37" s="4">
        <v>0</v>
      </c>
      <c r="O37" s="4">
        <v>56</v>
      </c>
      <c r="P37" s="4">
        <v>0</v>
      </c>
      <c r="Q37" s="4">
        <v>95</v>
      </c>
      <c r="R37" s="4">
        <v>0</v>
      </c>
      <c r="S37" s="4">
        <v>112</v>
      </c>
      <c r="T37" s="4">
        <v>0</v>
      </c>
      <c r="U37" s="4">
        <v>115</v>
      </c>
      <c r="V37" s="4">
        <v>0</v>
      </c>
      <c r="W37" s="4">
        <v>108</v>
      </c>
      <c r="X37" s="4">
        <v>0</v>
      </c>
      <c r="Y37" s="4">
        <v>109</v>
      </c>
      <c r="Z37" s="4">
        <v>0</v>
      </c>
      <c r="AA37" s="14">
        <v>937</v>
      </c>
      <c r="AB37" s="6">
        <f t="shared" si="0"/>
        <v>0</v>
      </c>
    </row>
    <row r="38" spans="1:28" ht="19.5" customHeight="1" x14ac:dyDescent="0.25">
      <c r="A38" s="2">
        <v>35</v>
      </c>
      <c r="B38" s="3" t="s">
        <v>53</v>
      </c>
      <c r="C38" s="4">
        <v>194</v>
      </c>
      <c r="D38" s="4">
        <v>0</v>
      </c>
      <c r="E38" s="4">
        <v>124</v>
      </c>
      <c r="F38" s="4">
        <v>0</v>
      </c>
      <c r="G38" s="5">
        <v>70</v>
      </c>
      <c r="H38" s="4">
        <v>0</v>
      </c>
      <c r="I38" s="4">
        <v>26</v>
      </c>
      <c r="J38" s="4">
        <v>0</v>
      </c>
      <c r="K38" s="4">
        <v>17</v>
      </c>
      <c r="L38" s="4">
        <v>0</v>
      </c>
      <c r="M38" s="4">
        <v>25</v>
      </c>
      <c r="N38" s="4">
        <v>0</v>
      </c>
      <c r="O38" s="4">
        <v>29</v>
      </c>
      <c r="P38" s="4">
        <v>0</v>
      </c>
      <c r="Q38" s="4">
        <v>31</v>
      </c>
      <c r="R38" s="4">
        <v>0</v>
      </c>
      <c r="S38" s="4">
        <v>42</v>
      </c>
      <c r="T38" s="4">
        <v>0</v>
      </c>
      <c r="U38" s="4">
        <v>27</v>
      </c>
      <c r="V38" s="4">
        <v>0</v>
      </c>
      <c r="W38" s="4">
        <v>42</v>
      </c>
      <c r="X38" s="4">
        <v>0</v>
      </c>
      <c r="Y38" s="4">
        <v>42</v>
      </c>
      <c r="Z38" s="4">
        <v>0</v>
      </c>
      <c r="AA38" s="14">
        <v>669</v>
      </c>
      <c r="AB38" s="6">
        <f t="shared" si="0"/>
        <v>0</v>
      </c>
    </row>
    <row r="39" spans="1:28" ht="19.5" customHeight="1" x14ac:dyDescent="0.25">
      <c r="A39" s="2">
        <v>36</v>
      </c>
      <c r="B39" s="3" t="s">
        <v>54</v>
      </c>
      <c r="C39" s="4">
        <v>195</v>
      </c>
      <c r="D39" s="4">
        <v>0</v>
      </c>
      <c r="E39" s="4">
        <v>140</v>
      </c>
      <c r="F39" s="4">
        <v>0</v>
      </c>
      <c r="G39" s="5">
        <v>70</v>
      </c>
      <c r="H39" s="4">
        <v>0</v>
      </c>
      <c r="I39" s="4">
        <v>57</v>
      </c>
      <c r="J39" s="4">
        <v>0</v>
      </c>
      <c r="K39" s="4">
        <v>31</v>
      </c>
      <c r="L39" s="4">
        <v>0</v>
      </c>
      <c r="M39" s="4">
        <v>37</v>
      </c>
      <c r="N39" s="4">
        <v>0</v>
      </c>
      <c r="O39" s="4">
        <v>96</v>
      </c>
      <c r="P39" s="4">
        <v>0</v>
      </c>
      <c r="Q39" s="4">
        <v>149</v>
      </c>
      <c r="R39" s="4">
        <v>0</v>
      </c>
      <c r="S39" s="4">
        <v>130</v>
      </c>
      <c r="T39" s="4">
        <v>0</v>
      </c>
      <c r="U39" s="4">
        <v>120</v>
      </c>
      <c r="V39" s="4">
        <v>0</v>
      </c>
      <c r="W39" s="4">
        <v>111</v>
      </c>
      <c r="X39" s="4">
        <v>0</v>
      </c>
      <c r="Y39" s="4">
        <v>84</v>
      </c>
      <c r="Z39" s="4">
        <v>0</v>
      </c>
      <c r="AA39" s="14">
        <v>1220</v>
      </c>
      <c r="AB39" s="6">
        <f t="shared" si="0"/>
        <v>0</v>
      </c>
    </row>
    <row r="40" spans="1:28" ht="19.5" customHeight="1" x14ac:dyDescent="0.25">
      <c r="A40" s="2">
        <v>37</v>
      </c>
      <c r="B40" s="3" t="s">
        <v>55</v>
      </c>
      <c r="C40" s="4">
        <v>156</v>
      </c>
      <c r="D40" s="4">
        <v>0</v>
      </c>
      <c r="E40" s="4">
        <v>81</v>
      </c>
      <c r="F40" s="4">
        <v>0</v>
      </c>
      <c r="G40" s="5">
        <v>63</v>
      </c>
      <c r="H40" s="4">
        <v>0</v>
      </c>
      <c r="I40" s="4">
        <v>44</v>
      </c>
      <c r="J40" s="4">
        <v>0</v>
      </c>
      <c r="K40" s="4">
        <v>35</v>
      </c>
      <c r="L40" s="4">
        <v>0</v>
      </c>
      <c r="M40" s="4">
        <v>38</v>
      </c>
      <c r="N40" s="4">
        <v>0</v>
      </c>
      <c r="O40" s="4">
        <v>71</v>
      </c>
      <c r="P40" s="4">
        <v>0</v>
      </c>
      <c r="Q40" s="4">
        <v>104</v>
      </c>
      <c r="R40" s="4">
        <v>0</v>
      </c>
      <c r="S40" s="4">
        <v>125</v>
      </c>
      <c r="T40" s="4">
        <v>0</v>
      </c>
      <c r="U40" s="4">
        <v>138</v>
      </c>
      <c r="V40" s="4">
        <v>0</v>
      </c>
      <c r="W40" s="4">
        <v>141</v>
      </c>
      <c r="X40" s="4">
        <v>0</v>
      </c>
      <c r="Y40" s="4">
        <v>130</v>
      </c>
      <c r="Z40" s="4">
        <v>0</v>
      </c>
      <c r="AA40" s="14">
        <v>1126</v>
      </c>
      <c r="AB40" s="6">
        <f t="shared" si="0"/>
        <v>0</v>
      </c>
    </row>
    <row r="41" spans="1:28" ht="19.5" customHeight="1" x14ac:dyDescent="0.25">
      <c r="A41" s="2">
        <v>38</v>
      </c>
      <c r="B41" s="3" t="s">
        <v>56</v>
      </c>
      <c r="C41" s="4">
        <v>168</v>
      </c>
      <c r="D41" s="4">
        <v>0</v>
      </c>
      <c r="E41" s="4">
        <v>144</v>
      </c>
      <c r="F41" s="4">
        <v>0</v>
      </c>
      <c r="G41" s="4">
        <v>65</v>
      </c>
      <c r="H41" s="4">
        <v>0</v>
      </c>
      <c r="I41" s="4">
        <v>16</v>
      </c>
      <c r="J41" s="4">
        <v>0</v>
      </c>
      <c r="K41" s="4">
        <v>6</v>
      </c>
      <c r="L41" s="4">
        <v>0</v>
      </c>
      <c r="M41" s="4">
        <v>10</v>
      </c>
      <c r="N41" s="4">
        <v>0</v>
      </c>
      <c r="O41" s="4">
        <v>8</v>
      </c>
      <c r="P41" s="4">
        <v>0</v>
      </c>
      <c r="Q41" s="4">
        <v>13</v>
      </c>
      <c r="R41" s="4">
        <v>0</v>
      </c>
      <c r="S41" s="4">
        <v>19</v>
      </c>
      <c r="T41" s="4">
        <v>0</v>
      </c>
      <c r="U41" s="4">
        <v>19</v>
      </c>
      <c r="V41" s="4">
        <v>0</v>
      </c>
      <c r="W41" s="4">
        <v>41</v>
      </c>
      <c r="X41" s="4">
        <v>0</v>
      </c>
      <c r="Y41" s="4">
        <v>33</v>
      </c>
      <c r="Z41" s="4">
        <v>0</v>
      </c>
      <c r="AA41" s="14">
        <v>542</v>
      </c>
      <c r="AB41" s="6">
        <f t="shared" si="0"/>
        <v>0</v>
      </c>
    </row>
    <row r="42" spans="1:28" s="10" customFormat="1" ht="19.5" customHeight="1" x14ac:dyDescent="0.25">
      <c r="A42" s="7"/>
      <c r="B42" s="3" t="s">
        <v>16</v>
      </c>
      <c r="C42" s="8">
        <f t="shared" ref="C42:AB42" si="1">SUM(C4:C41)</f>
        <v>8038</v>
      </c>
      <c r="D42" s="8">
        <f t="shared" si="1"/>
        <v>2</v>
      </c>
      <c r="E42" s="8">
        <f t="shared" si="1"/>
        <v>5307</v>
      </c>
      <c r="F42" s="8">
        <f t="shared" si="1"/>
        <v>0</v>
      </c>
      <c r="G42" s="9">
        <f t="shared" si="1"/>
        <v>3377</v>
      </c>
      <c r="H42" s="8">
        <f t="shared" si="1"/>
        <v>0</v>
      </c>
      <c r="I42" s="8">
        <f t="shared" si="1"/>
        <v>1644</v>
      </c>
      <c r="J42" s="8">
        <f t="shared" si="1"/>
        <v>0</v>
      </c>
      <c r="K42" s="8">
        <f t="shared" si="1"/>
        <v>1119</v>
      </c>
      <c r="L42" s="4">
        <f t="shared" si="1"/>
        <v>0</v>
      </c>
      <c r="M42" s="8">
        <f t="shared" si="1"/>
        <v>1667</v>
      </c>
      <c r="N42" s="4">
        <f t="shared" si="1"/>
        <v>0</v>
      </c>
      <c r="O42" s="8">
        <f t="shared" si="1"/>
        <v>3696</v>
      </c>
      <c r="P42" s="8">
        <f t="shared" si="1"/>
        <v>0</v>
      </c>
      <c r="Q42" s="8">
        <f t="shared" si="1"/>
        <v>4602</v>
      </c>
      <c r="R42" s="8">
        <f t="shared" si="1"/>
        <v>3</v>
      </c>
      <c r="S42" s="8">
        <f t="shared" si="1"/>
        <v>4867</v>
      </c>
      <c r="T42" s="8">
        <f t="shared" si="1"/>
        <v>2</v>
      </c>
      <c r="U42" s="8">
        <f t="shared" si="1"/>
        <v>3909</v>
      </c>
      <c r="V42" s="8">
        <f t="shared" si="1"/>
        <v>0</v>
      </c>
      <c r="W42" s="8">
        <f t="shared" si="1"/>
        <v>4681</v>
      </c>
      <c r="X42" s="8">
        <f t="shared" si="1"/>
        <v>2</v>
      </c>
      <c r="Y42" s="8">
        <f t="shared" si="1"/>
        <v>4020</v>
      </c>
      <c r="Z42" s="8">
        <f t="shared" si="1"/>
        <v>4</v>
      </c>
      <c r="AA42" s="6">
        <f t="shared" si="1"/>
        <v>46927</v>
      </c>
      <c r="AB42" s="6">
        <f t="shared" si="1"/>
        <v>13</v>
      </c>
    </row>
    <row r="43" spans="1:28" s="10" customFormat="1" ht="21" customHeight="1" x14ac:dyDescent="0.25">
      <c r="A43" s="11"/>
      <c r="B43" s="12" t="s">
        <v>17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6"/>
    </row>
  </sheetData>
  <mergeCells count="16">
    <mergeCell ref="AA2:AB2"/>
    <mergeCell ref="A1:AB1"/>
    <mergeCell ref="A2:A3"/>
    <mergeCell ref="B2:B3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printOptions horizontalCentered="1" verticalCentered="1"/>
  <pageMargins left="0" right="0" top="0" bottom="0" header="0" footer="0"/>
  <pageSetup paperSize="9"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3"/>
  <sheetViews>
    <sheetView view="pageBreakPreview" topLeftCell="A28" zoomScaleSheetLayoutView="100" workbookViewId="0">
      <selection activeCell="W53" sqref="W53"/>
    </sheetView>
  </sheetViews>
  <sheetFormatPr defaultRowHeight="15" x14ac:dyDescent="0.25"/>
  <cols>
    <col min="1" max="1" width="6.5703125" customWidth="1"/>
    <col min="2" max="2" width="23.42578125" customWidth="1"/>
    <col min="3" max="3" width="8" customWidth="1"/>
    <col min="4" max="4" width="5.7109375" customWidth="1"/>
    <col min="5" max="5" width="8" customWidth="1"/>
    <col min="6" max="6" width="6.140625" customWidth="1"/>
    <col min="7" max="7" width="8" customWidth="1"/>
    <col min="8" max="8" width="6.42578125" customWidth="1"/>
    <col min="9" max="9" width="8" customWidth="1"/>
    <col min="10" max="10" width="6.7109375" customWidth="1"/>
    <col min="11" max="11" width="8" customWidth="1"/>
    <col min="12" max="12" width="5.42578125" customWidth="1"/>
    <col min="13" max="13" width="8" customWidth="1"/>
    <col min="14" max="14" width="5.85546875" customWidth="1"/>
    <col min="15" max="15" width="8" customWidth="1"/>
    <col min="16" max="16" width="6.42578125" customWidth="1"/>
    <col min="17" max="17" width="8" customWidth="1"/>
    <col min="18" max="18" width="6.7109375" customWidth="1"/>
    <col min="19" max="19" width="8" customWidth="1"/>
    <col min="20" max="20" width="5.42578125" customWidth="1"/>
    <col min="21" max="21" width="7.7109375" customWidth="1"/>
    <col min="22" max="22" width="5.42578125" customWidth="1"/>
    <col min="23" max="23" width="7.85546875" customWidth="1"/>
    <col min="24" max="24" width="5.42578125" customWidth="1"/>
    <col min="25" max="25" width="7.28515625" customWidth="1"/>
    <col min="26" max="26" width="5.42578125" customWidth="1"/>
    <col min="27" max="27" width="11.7109375" customWidth="1"/>
    <col min="28" max="28" width="8" customWidth="1"/>
  </cols>
  <sheetData>
    <row r="1" spans="1:28" ht="35.25" customHeight="1" x14ac:dyDescent="0.25">
      <c r="A1" s="25" t="s">
        <v>62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34.5" customHeight="1" x14ac:dyDescent="0.25">
      <c r="A2" s="24" t="s">
        <v>0</v>
      </c>
      <c r="B2" s="24" t="s">
        <v>18</v>
      </c>
      <c r="C2" s="27" t="s">
        <v>1</v>
      </c>
      <c r="D2" s="27"/>
      <c r="E2" s="27" t="s">
        <v>2</v>
      </c>
      <c r="F2" s="27"/>
      <c r="G2" s="27" t="s">
        <v>3</v>
      </c>
      <c r="H2" s="27"/>
      <c r="I2" s="27" t="s">
        <v>4</v>
      </c>
      <c r="J2" s="27"/>
      <c r="K2" s="27" t="s">
        <v>5</v>
      </c>
      <c r="L2" s="27"/>
      <c r="M2" s="27" t="s">
        <v>6</v>
      </c>
      <c r="N2" s="27"/>
      <c r="O2" s="27" t="s">
        <v>7</v>
      </c>
      <c r="P2" s="27"/>
      <c r="Q2" s="27" t="s">
        <v>8</v>
      </c>
      <c r="R2" s="27"/>
      <c r="S2" s="28" t="s">
        <v>9</v>
      </c>
      <c r="T2" s="29"/>
      <c r="U2" s="28" t="s">
        <v>10</v>
      </c>
      <c r="V2" s="29"/>
      <c r="W2" s="28" t="s">
        <v>11</v>
      </c>
      <c r="X2" s="29"/>
      <c r="Y2" s="28" t="s">
        <v>12</v>
      </c>
      <c r="Z2" s="29"/>
      <c r="AA2" s="24" t="s">
        <v>13</v>
      </c>
      <c r="AB2" s="24"/>
    </row>
    <row r="3" spans="1:28" ht="21" customHeight="1" x14ac:dyDescent="0.25">
      <c r="A3" s="26"/>
      <c r="B3" s="24"/>
      <c r="C3" s="1" t="s">
        <v>14</v>
      </c>
      <c r="D3" s="1" t="s">
        <v>15</v>
      </c>
      <c r="E3" s="1" t="s">
        <v>14</v>
      </c>
      <c r="F3" s="1" t="s">
        <v>15</v>
      </c>
      <c r="G3" s="1" t="s">
        <v>14</v>
      </c>
      <c r="H3" s="1" t="s">
        <v>15</v>
      </c>
      <c r="I3" s="1" t="s">
        <v>14</v>
      </c>
      <c r="J3" s="1" t="s">
        <v>15</v>
      </c>
      <c r="K3" s="1" t="s">
        <v>14</v>
      </c>
      <c r="L3" s="1" t="s">
        <v>15</v>
      </c>
      <c r="M3" s="1" t="s">
        <v>14</v>
      </c>
      <c r="N3" s="1" t="s">
        <v>15</v>
      </c>
      <c r="O3" s="1" t="s">
        <v>14</v>
      </c>
      <c r="P3" s="1" t="s">
        <v>15</v>
      </c>
      <c r="Q3" s="1" t="s">
        <v>14</v>
      </c>
      <c r="R3" s="1" t="s">
        <v>15</v>
      </c>
      <c r="S3" s="1" t="s">
        <v>14</v>
      </c>
      <c r="T3" s="1" t="s">
        <v>15</v>
      </c>
      <c r="U3" s="1" t="s">
        <v>14</v>
      </c>
      <c r="V3" s="1" t="s">
        <v>15</v>
      </c>
      <c r="W3" s="1" t="s">
        <v>14</v>
      </c>
      <c r="X3" s="1" t="s">
        <v>15</v>
      </c>
      <c r="Y3" s="1" t="s">
        <v>14</v>
      </c>
      <c r="Z3" s="1" t="s">
        <v>15</v>
      </c>
      <c r="AA3" s="1" t="s">
        <v>14</v>
      </c>
      <c r="AB3" s="1" t="s">
        <v>15</v>
      </c>
    </row>
    <row r="4" spans="1:28" ht="19.5" customHeight="1" x14ac:dyDescent="0.25">
      <c r="A4" s="2">
        <v>1</v>
      </c>
      <c r="B4" s="3" t="s">
        <v>19</v>
      </c>
      <c r="C4" s="4">
        <v>81</v>
      </c>
      <c r="D4" s="4">
        <v>0</v>
      </c>
      <c r="E4" s="4">
        <v>47</v>
      </c>
      <c r="F4" s="4">
        <v>0</v>
      </c>
      <c r="G4" s="5">
        <v>35</v>
      </c>
      <c r="H4" s="4">
        <v>0</v>
      </c>
      <c r="I4" s="4">
        <v>30</v>
      </c>
      <c r="J4" s="4">
        <v>0</v>
      </c>
      <c r="K4" s="4">
        <v>18</v>
      </c>
      <c r="L4" s="4">
        <v>0</v>
      </c>
      <c r="M4" s="4">
        <v>33</v>
      </c>
      <c r="N4" s="4">
        <v>0</v>
      </c>
      <c r="O4" s="4">
        <v>38</v>
      </c>
      <c r="P4" s="4">
        <v>0</v>
      </c>
      <c r="Q4" s="4">
        <v>36</v>
      </c>
      <c r="R4" s="4">
        <v>0</v>
      </c>
      <c r="S4" s="4">
        <v>58</v>
      </c>
      <c r="T4" s="4">
        <v>0</v>
      </c>
      <c r="U4" s="4">
        <v>69</v>
      </c>
      <c r="V4" s="4">
        <v>0</v>
      </c>
      <c r="W4" s="4">
        <v>49</v>
      </c>
      <c r="X4" s="4">
        <v>0</v>
      </c>
      <c r="Y4" s="4">
        <v>47</v>
      </c>
      <c r="Z4" s="4">
        <v>0</v>
      </c>
      <c r="AA4" s="14">
        <v>541</v>
      </c>
      <c r="AB4" s="14">
        <v>0</v>
      </c>
    </row>
    <row r="5" spans="1:28" ht="19.5" customHeight="1" x14ac:dyDescent="0.25">
      <c r="A5" s="2">
        <v>2</v>
      </c>
      <c r="B5" s="3" t="s">
        <v>20</v>
      </c>
      <c r="C5" s="4">
        <v>84</v>
      </c>
      <c r="D5" s="4">
        <v>1</v>
      </c>
      <c r="E5" s="4">
        <v>63</v>
      </c>
      <c r="F5" s="4">
        <v>0</v>
      </c>
      <c r="G5" s="5">
        <v>40</v>
      </c>
      <c r="H5" s="4">
        <v>0</v>
      </c>
      <c r="I5" s="4">
        <v>52</v>
      </c>
      <c r="J5" s="4">
        <v>0</v>
      </c>
      <c r="K5" s="4">
        <v>26</v>
      </c>
      <c r="L5" s="4">
        <v>0</v>
      </c>
      <c r="M5" s="4">
        <v>49</v>
      </c>
      <c r="N5" s="4">
        <v>0</v>
      </c>
      <c r="O5" s="4">
        <v>78</v>
      </c>
      <c r="P5" s="4">
        <v>0</v>
      </c>
      <c r="Q5" s="4">
        <v>49</v>
      </c>
      <c r="R5" s="4">
        <v>0</v>
      </c>
      <c r="S5" s="4">
        <v>101</v>
      </c>
      <c r="T5" s="4">
        <v>0</v>
      </c>
      <c r="U5" s="4">
        <v>114</v>
      </c>
      <c r="V5" s="4">
        <v>0</v>
      </c>
      <c r="W5" s="4">
        <v>192</v>
      </c>
      <c r="X5" s="4">
        <v>0</v>
      </c>
      <c r="Y5" s="4">
        <v>135</v>
      </c>
      <c r="Z5" s="4">
        <v>0</v>
      </c>
      <c r="AA5" s="14">
        <v>983</v>
      </c>
      <c r="AB5" s="14">
        <v>1</v>
      </c>
    </row>
    <row r="6" spans="1:28" ht="19.5" customHeight="1" x14ac:dyDescent="0.25">
      <c r="A6" s="2">
        <v>3</v>
      </c>
      <c r="B6" s="3" t="s">
        <v>21</v>
      </c>
      <c r="C6" s="4">
        <v>628</v>
      </c>
      <c r="D6" s="4">
        <v>0</v>
      </c>
      <c r="E6" s="4">
        <v>416</v>
      </c>
      <c r="F6" s="4">
        <v>0</v>
      </c>
      <c r="G6" s="5">
        <v>266</v>
      </c>
      <c r="H6" s="4">
        <v>0</v>
      </c>
      <c r="I6" s="4">
        <v>192</v>
      </c>
      <c r="J6" s="4">
        <v>0</v>
      </c>
      <c r="K6" s="4">
        <v>140</v>
      </c>
      <c r="L6" s="4">
        <v>0</v>
      </c>
      <c r="M6" s="4">
        <v>277</v>
      </c>
      <c r="N6" s="4">
        <v>0</v>
      </c>
      <c r="O6" s="4">
        <v>480</v>
      </c>
      <c r="P6" s="4">
        <v>0</v>
      </c>
      <c r="Q6" s="4">
        <v>522</v>
      </c>
      <c r="R6" s="4">
        <v>0</v>
      </c>
      <c r="S6" s="4">
        <v>718</v>
      </c>
      <c r="T6" s="4">
        <v>1</v>
      </c>
      <c r="U6" s="4">
        <v>907</v>
      </c>
      <c r="V6" s="4">
        <v>0</v>
      </c>
      <c r="W6" s="4">
        <v>1052</v>
      </c>
      <c r="X6" s="4">
        <v>1</v>
      </c>
      <c r="Y6" s="4">
        <v>752</v>
      </c>
      <c r="Z6" s="4">
        <v>0</v>
      </c>
      <c r="AA6" s="14">
        <v>6350</v>
      </c>
      <c r="AB6" s="14">
        <v>2</v>
      </c>
    </row>
    <row r="7" spans="1:28" ht="19.5" customHeight="1" x14ac:dyDescent="0.25">
      <c r="A7" s="2">
        <v>4</v>
      </c>
      <c r="B7" s="3" t="s">
        <v>22</v>
      </c>
      <c r="C7" s="4">
        <v>254</v>
      </c>
      <c r="D7" s="4">
        <v>0</v>
      </c>
      <c r="E7" s="4">
        <v>134</v>
      </c>
      <c r="F7" s="4">
        <v>0</v>
      </c>
      <c r="G7" s="5">
        <v>81</v>
      </c>
      <c r="H7" s="4">
        <v>0</v>
      </c>
      <c r="I7" s="4">
        <v>70</v>
      </c>
      <c r="J7" s="4">
        <v>0</v>
      </c>
      <c r="K7" s="4">
        <v>117</v>
      </c>
      <c r="L7" s="4">
        <v>0</v>
      </c>
      <c r="M7" s="4">
        <v>150</v>
      </c>
      <c r="N7" s="4">
        <v>0</v>
      </c>
      <c r="O7" s="4">
        <v>212</v>
      </c>
      <c r="P7" s="4">
        <v>0</v>
      </c>
      <c r="Q7" s="4">
        <v>125</v>
      </c>
      <c r="R7" s="4">
        <v>0</v>
      </c>
      <c r="S7" s="4">
        <v>125</v>
      </c>
      <c r="T7" s="4">
        <v>0</v>
      </c>
      <c r="U7" s="4">
        <v>147</v>
      </c>
      <c r="V7" s="4">
        <v>0</v>
      </c>
      <c r="W7" s="4">
        <v>236</v>
      </c>
      <c r="X7" s="4">
        <v>0</v>
      </c>
      <c r="Y7" s="4">
        <v>260</v>
      </c>
      <c r="Z7" s="4">
        <v>0</v>
      </c>
      <c r="AA7" s="14">
        <v>1911</v>
      </c>
      <c r="AB7" s="14">
        <v>0</v>
      </c>
    </row>
    <row r="8" spans="1:28" ht="19.5" customHeight="1" x14ac:dyDescent="0.25">
      <c r="A8" s="2">
        <v>5</v>
      </c>
      <c r="B8" s="3" t="s">
        <v>23</v>
      </c>
      <c r="C8" s="4">
        <v>196</v>
      </c>
      <c r="D8" s="4">
        <v>0</v>
      </c>
      <c r="E8" s="4">
        <v>140</v>
      </c>
      <c r="F8" s="4">
        <v>0</v>
      </c>
      <c r="G8" s="5">
        <v>95</v>
      </c>
      <c r="H8" s="4">
        <v>0</v>
      </c>
      <c r="I8" s="4">
        <v>73</v>
      </c>
      <c r="J8" s="4">
        <v>0</v>
      </c>
      <c r="K8" s="4">
        <v>97</v>
      </c>
      <c r="L8" s="4">
        <v>0</v>
      </c>
      <c r="M8" s="4">
        <v>110</v>
      </c>
      <c r="N8" s="4">
        <v>0</v>
      </c>
      <c r="O8" s="4">
        <v>132</v>
      </c>
      <c r="P8" s="4">
        <v>0</v>
      </c>
      <c r="Q8" s="4">
        <v>124</v>
      </c>
      <c r="R8" s="4">
        <v>0</v>
      </c>
      <c r="S8" s="4">
        <v>82</v>
      </c>
      <c r="T8" s="4">
        <v>0</v>
      </c>
      <c r="U8" s="4">
        <v>183</v>
      </c>
      <c r="V8" s="4">
        <v>0</v>
      </c>
      <c r="W8" s="4">
        <v>200</v>
      </c>
      <c r="X8" s="4">
        <v>0</v>
      </c>
      <c r="Y8" s="4">
        <v>102</v>
      </c>
      <c r="Z8" s="4">
        <v>0</v>
      </c>
      <c r="AA8" s="14">
        <v>1534</v>
      </c>
      <c r="AB8" s="14">
        <v>0</v>
      </c>
    </row>
    <row r="9" spans="1:28" ht="19.5" customHeight="1" x14ac:dyDescent="0.25">
      <c r="A9" s="2">
        <v>6</v>
      </c>
      <c r="B9" s="3" t="s">
        <v>24</v>
      </c>
      <c r="C9" s="4">
        <v>21</v>
      </c>
      <c r="D9" s="4">
        <v>0</v>
      </c>
      <c r="E9" s="4">
        <v>15</v>
      </c>
      <c r="F9" s="4">
        <v>0</v>
      </c>
      <c r="G9" s="5">
        <v>12</v>
      </c>
      <c r="H9" s="4">
        <v>0</v>
      </c>
      <c r="I9" s="4">
        <v>5</v>
      </c>
      <c r="J9" s="4">
        <v>0</v>
      </c>
      <c r="K9" s="4">
        <v>4</v>
      </c>
      <c r="L9" s="4">
        <v>0</v>
      </c>
      <c r="M9" s="4">
        <v>6</v>
      </c>
      <c r="N9" s="4">
        <v>0</v>
      </c>
      <c r="O9" s="4">
        <v>4</v>
      </c>
      <c r="P9" s="4">
        <v>0</v>
      </c>
      <c r="Q9" s="4">
        <v>13</v>
      </c>
      <c r="R9" s="4">
        <v>0</v>
      </c>
      <c r="S9" s="4">
        <v>26</v>
      </c>
      <c r="T9" s="4">
        <v>0</v>
      </c>
      <c r="U9" s="4">
        <v>20</v>
      </c>
      <c r="V9" s="4">
        <v>0</v>
      </c>
      <c r="W9" s="4">
        <v>19</v>
      </c>
      <c r="X9" s="4">
        <v>0</v>
      </c>
      <c r="Y9" s="4">
        <v>10</v>
      </c>
      <c r="Z9" s="4">
        <v>0</v>
      </c>
      <c r="AA9" s="14">
        <v>155</v>
      </c>
      <c r="AB9" s="14">
        <v>0</v>
      </c>
    </row>
    <row r="10" spans="1:28" ht="19.5" customHeight="1" x14ac:dyDescent="0.25">
      <c r="A10" s="2">
        <v>7</v>
      </c>
      <c r="B10" s="3" t="s">
        <v>25</v>
      </c>
      <c r="C10" s="4">
        <v>22</v>
      </c>
      <c r="D10" s="4">
        <v>0</v>
      </c>
      <c r="E10" s="4">
        <v>16</v>
      </c>
      <c r="F10" s="4">
        <v>0</v>
      </c>
      <c r="G10" s="5">
        <v>12</v>
      </c>
      <c r="H10" s="4">
        <v>0</v>
      </c>
      <c r="I10" s="4">
        <v>7</v>
      </c>
      <c r="J10" s="4">
        <v>0</v>
      </c>
      <c r="K10" s="4">
        <v>8</v>
      </c>
      <c r="L10" s="4">
        <v>0</v>
      </c>
      <c r="M10" s="4">
        <v>10</v>
      </c>
      <c r="N10" s="4">
        <v>0</v>
      </c>
      <c r="O10" s="4">
        <v>9</v>
      </c>
      <c r="P10" s="4">
        <v>0</v>
      </c>
      <c r="Q10" s="4">
        <v>12</v>
      </c>
      <c r="R10" s="4">
        <v>0</v>
      </c>
      <c r="S10" s="4">
        <v>13</v>
      </c>
      <c r="T10" s="4">
        <v>0</v>
      </c>
      <c r="U10" s="4">
        <v>16</v>
      </c>
      <c r="V10" s="4">
        <v>0</v>
      </c>
      <c r="W10" s="4">
        <v>10</v>
      </c>
      <c r="X10" s="4">
        <v>0</v>
      </c>
      <c r="Y10" s="4">
        <v>12</v>
      </c>
      <c r="Z10" s="4">
        <v>0</v>
      </c>
      <c r="AA10" s="14">
        <v>147</v>
      </c>
      <c r="AB10" s="14">
        <v>0</v>
      </c>
    </row>
    <row r="11" spans="1:28" ht="19.5" customHeight="1" x14ac:dyDescent="0.25">
      <c r="A11" s="2">
        <v>8</v>
      </c>
      <c r="B11" s="3" t="s">
        <v>26</v>
      </c>
      <c r="C11" s="4">
        <v>65</v>
      </c>
      <c r="D11" s="4">
        <v>0</v>
      </c>
      <c r="E11" s="4">
        <v>45</v>
      </c>
      <c r="F11" s="4">
        <v>0</v>
      </c>
      <c r="G11" s="5">
        <v>27</v>
      </c>
      <c r="H11" s="4">
        <v>0</v>
      </c>
      <c r="I11" s="4">
        <v>38</v>
      </c>
      <c r="J11" s="4">
        <v>0</v>
      </c>
      <c r="K11" s="4">
        <v>50</v>
      </c>
      <c r="L11" s="4">
        <v>0</v>
      </c>
      <c r="M11" s="4">
        <v>40</v>
      </c>
      <c r="N11" s="4">
        <v>0</v>
      </c>
      <c r="O11" s="4">
        <v>35</v>
      </c>
      <c r="P11" s="4">
        <v>0</v>
      </c>
      <c r="Q11" s="4">
        <v>50</v>
      </c>
      <c r="R11" s="4">
        <v>0</v>
      </c>
      <c r="S11" s="4">
        <v>47</v>
      </c>
      <c r="T11" s="4">
        <v>0</v>
      </c>
      <c r="U11" s="4">
        <v>48</v>
      </c>
      <c r="V11" s="4">
        <v>0</v>
      </c>
      <c r="W11" s="4">
        <v>67</v>
      </c>
      <c r="X11" s="4">
        <v>1</v>
      </c>
      <c r="Y11" s="4">
        <v>35</v>
      </c>
      <c r="Z11" s="4">
        <v>0</v>
      </c>
      <c r="AA11" s="14">
        <v>547</v>
      </c>
      <c r="AB11" s="14">
        <v>1</v>
      </c>
    </row>
    <row r="12" spans="1:28" ht="19.5" customHeight="1" x14ac:dyDescent="0.25">
      <c r="A12" s="2">
        <v>9</v>
      </c>
      <c r="B12" s="3" t="s">
        <v>27</v>
      </c>
      <c r="C12" s="4">
        <v>17</v>
      </c>
      <c r="D12" s="4">
        <v>0</v>
      </c>
      <c r="E12" s="4">
        <v>14</v>
      </c>
      <c r="F12" s="4">
        <v>0</v>
      </c>
      <c r="G12" s="5">
        <v>13</v>
      </c>
      <c r="H12" s="4">
        <v>0</v>
      </c>
      <c r="I12" s="4">
        <v>12</v>
      </c>
      <c r="J12" s="4">
        <v>0</v>
      </c>
      <c r="K12" s="4">
        <v>5</v>
      </c>
      <c r="L12" s="4">
        <v>0</v>
      </c>
      <c r="M12" s="4">
        <v>10</v>
      </c>
      <c r="N12" s="4">
        <v>0</v>
      </c>
      <c r="O12" s="4">
        <v>11</v>
      </c>
      <c r="P12" s="4">
        <v>0</v>
      </c>
      <c r="Q12" s="4">
        <v>11</v>
      </c>
      <c r="R12" s="4">
        <v>0</v>
      </c>
      <c r="S12" s="4">
        <v>21</v>
      </c>
      <c r="T12" s="4">
        <v>0</v>
      </c>
      <c r="U12" s="4">
        <v>42</v>
      </c>
      <c r="V12" s="4">
        <v>0</v>
      </c>
      <c r="W12" s="4">
        <v>66</v>
      </c>
      <c r="X12" s="4">
        <v>0</v>
      </c>
      <c r="Y12" s="4">
        <v>51</v>
      </c>
      <c r="Z12" s="4">
        <v>0</v>
      </c>
      <c r="AA12" s="14">
        <v>273</v>
      </c>
      <c r="AB12" s="14">
        <v>0</v>
      </c>
    </row>
    <row r="13" spans="1:28" ht="19.5" customHeight="1" x14ac:dyDescent="0.25">
      <c r="A13" s="2">
        <v>10</v>
      </c>
      <c r="B13" s="3" t="s">
        <v>28</v>
      </c>
      <c r="C13" s="4">
        <v>95</v>
      </c>
      <c r="D13" s="4">
        <v>0</v>
      </c>
      <c r="E13" s="4">
        <v>63</v>
      </c>
      <c r="F13" s="4">
        <v>0</v>
      </c>
      <c r="G13" s="5">
        <v>48</v>
      </c>
      <c r="H13" s="4">
        <v>0</v>
      </c>
      <c r="I13" s="4">
        <v>31</v>
      </c>
      <c r="J13" s="4">
        <v>0</v>
      </c>
      <c r="K13" s="4">
        <v>28</v>
      </c>
      <c r="L13" s="4">
        <v>0</v>
      </c>
      <c r="M13" s="4">
        <v>31</v>
      </c>
      <c r="N13" s="4">
        <v>0</v>
      </c>
      <c r="O13" s="4">
        <v>55</v>
      </c>
      <c r="P13" s="4">
        <v>0</v>
      </c>
      <c r="Q13" s="4">
        <v>60</v>
      </c>
      <c r="R13" s="4">
        <v>0</v>
      </c>
      <c r="S13" s="4">
        <v>98</v>
      </c>
      <c r="T13" s="4">
        <v>0</v>
      </c>
      <c r="U13" s="4">
        <v>108</v>
      </c>
      <c r="V13" s="4">
        <v>0</v>
      </c>
      <c r="W13" s="4">
        <v>164</v>
      </c>
      <c r="X13" s="4">
        <v>0</v>
      </c>
      <c r="Y13" s="4">
        <v>127</v>
      </c>
      <c r="Z13" s="4">
        <v>0</v>
      </c>
      <c r="AA13" s="14">
        <v>908</v>
      </c>
      <c r="AB13" s="14">
        <v>0</v>
      </c>
    </row>
    <row r="14" spans="1:28" ht="19.5" customHeight="1" x14ac:dyDescent="0.25">
      <c r="A14" s="2">
        <v>11</v>
      </c>
      <c r="B14" s="3" t="s">
        <v>29</v>
      </c>
      <c r="C14" s="4">
        <v>59</v>
      </c>
      <c r="D14" s="4">
        <v>0</v>
      </c>
      <c r="E14" s="4">
        <v>21</v>
      </c>
      <c r="F14" s="4">
        <v>0</v>
      </c>
      <c r="G14" s="5">
        <v>19</v>
      </c>
      <c r="H14" s="4">
        <v>0</v>
      </c>
      <c r="I14" s="4">
        <v>36</v>
      </c>
      <c r="J14" s="4">
        <v>0</v>
      </c>
      <c r="K14" s="4">
        <v>44</v>
      </c>
      <c r="L14" s="4">
        <v>0</v>
      </c>
      <c r="M14" s="4">
        <v>38</v>
      </c>
      <c r="N14" s="4">
        <v>0</v>
      </c>
      <c r="O14" s="4">
        <v>66</v>
      </c>
      <c r="P14" s="4">
        <v>0</v>
      </c>
      <c r="Q14" s="4">
        <v>56</v>
      </c>
      <c r="R14" s="4">
        <v>0</v>
      </c>
      <c r="S14" s="4">
        <v>40</v>
      </c>
      <c r="T14" s="4">
        <v>0</v>
      </c>
      <c r="U14" s="4">
        <v>37</v>
      </c>
      <c r="V14" s="4">
        <v>0</v>
      </c>
      <c r="W14" s="4">
        <v>41</v>
      </c>
      <c r="X14" s="4">
        <v>0</v>
      </c>
      <c r="Y14" s="4">
        <v>50</v>
      </c>
      <c r="Z14" s="4">
        <v>0</v>
      </c>
      <c r="AA14" s="14">
        <v>507</v>
      </c>
      <c r="AB14" s="14">
        <v>0</v>
      </c>
    </row>
    <row r="15" spans="1:28" ht="19.5" customHeight="1" x14ac:dyDescent="0.25">
      <c r="A15" s="2">
        <v>12</v>
      </c>
      <c r="B15" s="3" t="s">
        <v>30</v>
      </c>
      <c r="C15" s="4">
        <v>7</v>
      </c>
      <c r="D15" s="4">
        <v>0</v>
      </c>
      <c r="E15" s="4">
        <v>5</v>
      </c>
      <c r="F15" s="4">
        <v>0</v>
      </c>
      <c r="G15" s="5">
        <v>9</v>
      </c>
      <c r="H15" s="4">
        <v>0</v>
      </c>
      <c r="I15" s="4">
        <v>4</v>
      </c>
      <c r="J15" s="4">
        <v>0</v>
      </c>
      <c r="K15" s="4">
        <v>3</v>
      </c>
      <c r="L15" s="4">
        <v>0</v>
      </c>
      <c r="M15" s="4">
        <v>2</v>
      </c>
      <c r="N15" s="4">
        <v>0</v>
      </c>
      <c r="O15" s="4">
        <v>4</v>
      </c>
      <c r="P15" s="4">
        <v>0</v>
      </c>
      <c r="Q15" s="4">
        <v>6</v>
      </c>
      <c r="R15" s="4">
        <v>0</v>
      </c>
      <c r="S15" s="4">
        <v>8</v>
      </c>
      <c r="T15" s="4">
        <v>0</v>
      </c>
      <c r="U15" s="4">
        <v>13</v>
      </c>
      <c r="V15" s="4">
        <v>0</v>
      </c>
      <c r="W15" s="4">
        <v>13</v>
      </c>
      <c r="X15" s="4">
        <v>0</v>
      </c>
      <c r="Y15" s="4">
        <v>17</v>
      </c>
      <c r="Z15" s="4">
        <v>0</v>
      </c>
      <c r="AA15" s="14">
        <v>91</v>
      </c>
      <c r="AB15" s="14">
        <v>0</v>
      </c>
    </row>
    <row r="16" spans="1:28" ht="19.5" customHeight="1" x14ac:dyDescent="0.25">
      <c r="A16" s="2">
        <v>13</v>
      </c>
      <c r="B16" s="3" t="s">
        <v>31</v>
      </c>
      <c r="C16" s="4">
        <v>49</v>
      </c>
      <c r="D16" s="4">
        <v>0</v>
      </c>
      <c r="E16" s="4">
        <v>48</v>
      </c>
      <c r="F16" s="4">
        <v>0</v>
      </c>
      <c r="G16" s="5">
        <v>49</v>
      </c>
      <c r="H16" s="4">
        <v>0</v>
      </c>
      <c r="I16" s="4">
        <v>20</v>
      </c>
      <c r="J16" s="4">
        <v>0</v>
      </c>
      <c r="K16" s="4">
        <v>21</v>
      </c>
      <c r="L16" s="4">
        <v>0</v>
      </c>
      <c r="M16" s="4">
        <v>38</v>
      </c>
      <c r="N16" s="4">
        <v>0</v>
      </c>
      <c r="O16" s="4">
        <v>30</v>
      </c>
      <c r="P16" s="4">
        <v>0</v>
      </c>
      <c r="Q16" s="4">
        <v>48</v>
      </c>
      <c r="R16" s="4">
        <v>0</v>
      </c>
      <c r="S16" s="4">
        <v>80</v>
      </c>
      <c r="T16" s="4">
        <v>0</v>
      </c>
      <c r="U16" s="4">
        <v>47</v>
      </c>
      <c r="V16" s="4">
        <v>0</v>
      </c>
      <c r="W16" s="4">
        <v>57</v>
      </c>
      <c r="X16" s="4">
        <v>0</v>
      </c>
      <c r="Y16" s="4">
        <v>32</v>
      </c>
      <c r="Z16" s="4">
        <v>0</v>
      </c>
      <c r="AA16" s="14">
        <v>519</v>
      </c>
      <c r="AB16" s="14">
        <v>0</v>
      </c>
    </row>
    <row r="17" spans="1:28" ht="19.5" customHeight="1" x14ac:dyDescent="0.25">
      <c r="A17" s="2">
        <v>14</v>
      </c>
      <c r="B17" s="3" t="s">
        <v>32</v>
      </c>
      <c r="C17" s="4">
        <v>39</v>
      </c>
      <c r="D17" s="4">
        <v>0</v>
      </c>
      <c r="E17" s="4">
        <v>26</v>
      </c>
      <c r="F17" s="4">
        <v>0</v>
      </c>
      <c r="G17" s="5">
        <v>18</v>
      </c>
      <c r="H17" s="4">
        <v>0</v>
      </c>
      <c r="I17" s="4">
        <v>7</v>
      </c>
      <c r="J17" s="4">
        <v>0</v>
      </c>
      <c r="K17" s="4">
        <v>14</v>
      </c>
      <c r="L17" s="4">
        <v>0</v>
      </c>
      <c r="M17" s="4">
        <v>14</v>
      </c>
      <c r="N17" s="4">
        <v>0</v>
      </c>
      <c r="O17" s="4">
        <v>13</v>
      </c>
      <c r="P17" s="4">
        <v>0</v>
      </c>
      <c r="Q17" s="4">
        <v>10</v>
      </c>
      <c r="R17" s="4">
        <v>0</v>
      </c>
      <c r="S17" s="4">
        <v>20</v>
      </c>
      <c r="T17" s="4">
        <v>0</v>
      </c>
      <c r="U17" s="4">
        <v>27</v>
      </c>
      <c r="V17" s="4">
        <v>0</v>
      </c>
      <c r="W17" s="4">
        <v>29</v>
      </c>
      <c r="X17" s="4">
        <v>0</v>
      </c>
      <c r="Y17" s="4">
        <v>32</v>
      </c>
      <c r="Z17" s="4">
        <v>0</v>
      </c>
      <c r="AA17" s="14">
        <v>249</v>
      </c>
      <c r="AB17" s="14">
        <v>0</v>
      </c>
    </row>
    <row r="18" spans="1:28" ht="19.5" customHeight="1" x14ac:dyDescent="0.25">
      <c r="A18" s="2">
        <v>15</v>
      </c>
      <c r="B18" s="3" t="s">
        <v>33</v>
      </c>
      <c r="C18" s="4">
        <v>34</v>
      </c>
      <c r="D18" s="4">
        <v>0</v>
      </c>
      <c r="E18" s="4">
        <v>19</v>
      </c>
      <c r="F18" s="4">
        <v>0</v>
      </c>
      <c r="G18" s="5">
        <v>25</v>
      </c>
      <c r="H18" s="4">
        <v>0</v>
      </c>
      <c r="I18" s="4">
        <v>27</v>
      </c>
      <c r="J18" s="4">
        <v>0</v>
      </c>
      <c r="K18" s="4">
        <v>36</v>
      </c>
      <c r="L18" s="4">
        <v>0</v>
      </c>
      <c r="M18" s="4">
        <v>46</v>
      </c>
      <c r="N18" s="4">
        <v>0</v>
      </c>
      <c r="O18" s="4">
        <v>44</v>
      </c>
      <c r="P18" s="4">
        <v>0</v>
      </c>
      <c r="Q18" s="4">
        <v>20</v>
      </c>
      <c r="R18" s="4">
        <v>0</v>
      </c>
      <c r="S18" s="4">
        <v>22</v>
      </c>
      <c r="T18" s="4">
        <v>0</v>
      </c>
      <c r="U18" s="4">
        <v>38</v>
      </c>
      <c r="V18" s="4">
        <v>0</v>
      </c>
      <c r="W18" s="4">
        <v>34</v>
      </c>
      <c r="X18" s="4">
        <v>0</v>
      </c>
      <c r="Y18" s="4">
        <v>19</v>
      </c>
      <c r="Z18" s="4">
        <v>0</v>
      </c>
      <c r="AA18" s="14">
        <v>364</v>
      </c>
      <c r="AB18" s="14">
        <v>0</v>
      </c>
    </row>
    <row r="19" spans="1:28" ht="19.5" customHeight="1" x14ac:dyDescent="0.25">
      <c r="A19" s="2">
        <v>16</v>
      </c>
      <c r="B19" s="3" t="s">
        <v>34</v>
      </c>
      <c r="C19" s="4">
        <v>15</v>
      </c>
      <c r="D19" s="4">
        <v>0</v>
      </c>
      <c r="E19" s="4">
        <v>8</v>
      </c>
      <c r="F19" s="4">
        <v>0</v>
      </c>
      <c r="G19" s="5">
        <v>10</v>
      </c>
      <c r="H19" s="4">
        <v>0</v>
      </c>
      <c r="I19" s="4">
        <v>7</v>
      </c>
      <c r="J19" s="4">
        <v>0</v>
      </c>
      <c r="K19" s="4">
        <v>9</v>
      </c>
      <c r="L19" s="4">
        <v>0</v>
      </c>
      <c r="M19" s="4">
        <v>7</v>
      </c>
      <c r="N19" s="4">
        <v>0</v>
      </c>
      <c r="O19" s="4">
        <v>4</v>
      </c>
      <c r="P19" s="4">
        <v>0</v>
      </c>
      <c r="Q19" s="4">
        <v>6</v>
      </c>
      <c r="R19" s="4">
        <v>0</v>
      </c>
      <c r="S19" s="4">
        <v>24</v>
      </c>
      <c r="T19" s="4">
        <v>0</v>
      </c>
      <c r="U19" s="4">
        <v>40</v>
      </c>
      <c r="V19" s="4">
        <v>0</v>
      </c>
      <c r="W19" s="4">
        <v>34</v>
      </c>
      <c r="X19" s="4">
        <v>0</v>
      </c>
      <c r="Y19" s="4">
        <v>26</v>
      </c>
      <c r="Z19" s="4">
        <v>0</v>
      </c>
      <c r="AA19" s="14">
        <v>190</v>
      </c>
      <c r="AB19" s="14">
        <v>0</v>
      </c>
    </row>
    <row r="20" spans="1:28" ht="19.5" customHeight="1" x14ac:dyDescent="0.25">
      <c r="A20" s="2">
        <v>17</v>
      </c>
      <c r="B20" s="3" t="s">
        <v>35</v>
      </c>
      <c r="C20" s="4">
        <v>40</v>
      </c>
      <c r="D20" s="4">
        <v>0</v>
      </c>
      <c r="E20" s="4">
        <v>25</v>
      </c>
      <c r="F20" s="4">
        <v>0</v>
      </c>
      <c r="G20" s="5">
        <v>15</v>
      </c>
      <c r="H20" s="4">
        <v>0</v>
      </c>
      <c r="I20" s="4">
        <v>15</v>
      </c>
      <c r="J20" s="4">
        <v>0</v>
      </c>
      <c r="K20" s="4">
        <v>8</v>
      </c>
      <c r="L20" s="4">
        <v>0</v>
      </c>
      <c r="M20" s="4">
        <v>11</v>
      </c>
      <c r="N20" s="4">
        <v>0</v>
      </c>
      <c r="O20" s="4">
        <v>27</v>
      </c>
      <c r="P20" s="4">
        <v>0</v>
      </c>
      <c r="Q20" s="4">
        <v>17</v>
      </c>
      <c r="R20" s="4">
        <v>0</v>
      </c>
      <c r="S20" s="4">
        <v>35</v>
      </c>
      <c r="T20" s="4">
        <v>0</v>
      </c>
      <c r="U20" s="4">
        <v>40</v>
      </c>
      <c r="V20" s="4">
        <v>0</v>
      </c>
      <c r="W20" s="4">
        <v>52</v>
      </c>
      <c r="X20" s="4">
        <v>0</v>
      </c>
      <c r="Y20" s="4">
        <v>41</v>
      </c>
      <c r="Z20" s="4">
        <v>0</v>
      </c>
      <c r="AA20" s="14">
        <v>326</v>
      </c>
      <c r="AB20" s="14">
        <v>0</v>
      </c>
    </row>
    <row r="21" spans="1:28" ht="19.5" customHeight="1" x14ac:dyDescent="0.25">
      <c r="A21" s="2">
        <v>18</v>
      </c>
      <c r="B21" s="3" t="s">
        <v>36</v>
      </c>
      <c r="C21" s="4">
        <v>46</v>
      </c>
      <c r="D21" s="4">
        <v>0</v>
      </c>
      <c r="E21" s="4">
        <v>20</v>
      </c>
      <c r="F21" s="4">
        <v>0</v>
      </c>
      <c r="G21" s="5">
        <v>22</v>
      </c>
      <c r="H21" s="4">
        <v>0</v>
      </c>
      <c r="I21" s="4">
        <v>5</v>
      </c>
      <c r="J21" s="4">
        <v>0</v>
      </c>
      <c r="K21" s="4">
        <v>10</v>
      </c>
      <c r="L21" s="4">
        <v>0</v>
      </c>
      <c r="M21" s="4">
        <v>3</v>
      </c>
      <c r="N21" s="4">
        <v>0</v>
      </c>
      <c r="O21" s="4">
        <v>6</v>
      </c>
      <c r="P21" s="4">
        <v>0</v>
      </c>
      <c r="Q21" s="4">
        <v>15</v>
      </c>
      <c r="R21" s="4">
        <v>0</v>
      </c>
      <c r="S21" s="4">
        <v>16</v>
      </c>
      <c r="T21" s="4">
        <v>0</v>
      </c>
      <c r="U21" s="4">
        <v>45</v>
      </c>
      <c r="V21" s="4">
        <v>0</v>
      </c>
      <c r="W21" s="4">
        <v>29</v>
      </c>
      <c r="X21" s="4">
        <v>0</v>
      </c>
      <c r="Y21" s="4">
        <v>18</v>
      </c>
      <c r="Z21" s="4">
        <v>0</v>
      </c>
      <c r="AA21" s="14">
        <v>235</v>
      </c>
      <c r="AB21" s="14">
        <v>0</v>
      </c>
    </row>
    <row r="22" spans="1:28" ht="19.5" customHeight="1" x14ac:dyDescent="0.25">
      <c r="A22" s="2">
        <v>19</v>
      </c>
      <c r="B22" s="3" t="s">
        <v>37</v>
      </c>
      <c r="C22" s="4">
        <v>55</v>
      </c>
      <c r="D22" s="4">
        <v>0</v>
      </c>
      <c r="E22" s="4">
        <v>29</v>
      </c>
      <c r="F22" s="4">
        <v>0</v>
      </c>
      <c r="G22" s="5">
        <v>29</v>
      </c>
      <c r="H22" s="4">
        <v>0</v>
      </c>
      <c r="I22" s="4">
        <v>23</v>
      </c>
      <c r="J22" s="4">
        <v>0</v>
      </c>
      <c r="K22" s="4">
        <v>21</v>
      </c>
      <c r="L22" s="4">
        <v>0</v>
      </c>
      <c r="M22" s="4">
        <v>10</v>
      </c>
      <c r="N22" s="4">
        <v>0</v>
      </c>
      <c r="O22" s="4">
        <v>18</v>
      </c>
      <c r="P22" s="4">
        <v>2</v>
      </c>
      <c r="Q22" s="4">
        <v>20</v>
      </c>
      <c r="R22" s="4">
        <v>0</v>
      </c>
      <c r="S22" s="4">
        <v>51</v>
      </c>
      <c r="T22" s="4">
        <v>0</v>
      </c>
      <c r="U22" s="4">
        <v>88</v>
      </c>
      <c r="V22" s="4">
        <v>0</v>
      </c>
      <c r="W22" s="4">
        <v>109</v>
      </c>
      <c r="X22" s="4">
        <v>0</v>
      </c>
      <c r="Y22" s="4">
        <v>78</v>
      </c>
      <c r="Z22" s="4">
        <v>0</v>
      </c>
      <c r="AA22" s="14">
        <v>531</v>
      </c>
      <c r="AB22" s="14">
        <v>2</v>
      </c>
    </row>
    <row r="23" spans="1:28" ht="19.5" customHeight="1" x14ac:dyDescent="0.25">
      <c r="A23" s="2">
        <v>20</v>
      </c>
      <c r="B23" s="3" t="s">
        <v>38</v>
      </c>
      <c r="C23" s="4">
        <v>15</v>
      </c>
      <c r="D23" s="4">
        <v>0</v>
      </c>
      <c r="E23" s="4">
        <v>21</v>
      </c>
      <c r="F23" s="4">
        <v>0</v>
      </c>
      <c r="G23" s="5">
        <v>13</v>
      </c>
      <c r="H23" s="4">
        <v>0</v>
      </c>
      <c r="I23" s="4">
        <v>15</v>
      </c>
      <c r="J23" s="4">
        <v>0</v>
      </c>
      <c r="K23" s="4">
        <v>11</v>
      </c>
      <c r="L23" s="4">
        <v>0</v>
      </c>
      <c r="M23" s="4">
        <v>10</v>
      </c>
      <c r="N23" s="4">
        <v>0</v>
      </c>
      <c r="O23" s="4">
        <v>9</v>
      </c>
      <c r="P23" s="4">
        <v>0</v>
      </c>
      <c r="Q23" s="4">
        <v>9</v>
      </c>
      <c r="R23" s="4">
        <v>0</v>
      </c>
      <c r="S23" s="4">
        <v>24</v>
      </c>
      <c r="T23" s="4">
        <v>0</v>
      </c>
      <c r="U23" s="4">
        <v>40</v>
      </c>
      <c r="V23" s="4">
        <v>0</v>
      </c>
      <c r="W23" s="4">
        <v>51</v>
      </c>
      <c r="X23" s="4">
        <v>0</v>
      </c>
      <c r="Y23" s="4">
        <v>53</v>
      </c>
      <c r="Z23" s="4">
        <v>0</v>
      </c>
      <c r="AA23" s="14">
        <v>271</v>
      </c>
      <c r="AB23" s="14">
        <v>0</v>
      </c>
    </row>
    <row r="24" spans="1:28" ht="19.5" customHeight="1" x14ac:dyDescent="0.25">
      <c r="A24" s="2">
        <v>21</v>
      </c>
      <c r="B24" s="3" t="s">
        <v>39</v>
      </c>
      <c r="C24" s="4">
        <v>24</v>
      </c>
      <c r="D24" s="4">
        <v>0</v>
      </c>
      <c r="E24" s="4">
        <v>31</v>
      </c>
      <c r="F24" s="4">
        <v>0</v>
      </c>
      <c r="G24" s="5">
        <v>30</v>
      </c>
      <c r="H24" s="4">
        <v>1</v>
      </c>
      <c r="I24" s="4">
        <v>17</v>
      </c>
      <c r="J24" s="4">
        <v>0</v>
      </c>
      <c r="K24" s="4">
        <v>12</v>
      </c>
      <c r="L24" s="4">
        <v>0</v>
      </c>
      <c r="M24" s="4">
        <v>15</v>
      </c>
      <c r="N24" s="4">
        <v>0</v>
      </c>
      <c r="O24" s="4">
        <v>13</v>
      </c>
      <c r="P24" s="4">
        <v>0</v>
      </c>
      <c r="Q24" s="4">
        <v>9</v>
      </c>
      <c r="R24" s="4">
        <v>0</v>
      </c>
      <c r="S24" s="4">
        <v>26</v>
      </c>
      <c r="T24" s="4">
        <v>0</v>
      </c>
      <c r="U24" s="4">
        <v>66</v>
      </c>
      <c r="V24" s="4">
        <v>0</v>
      </c>
      <c r="W24" s="4">
        <v>51</v>
      </c>
      <c r="X24" s="4">
        <v>0</v>
      </c>
      <c r="Y24" s="4">
        <v>39</v>
      </c>
      <c r="Z24" s="4">
        <v>0</v>
      </c>
      <c r="AA24" s="14">
        <v>333</v>
      </c>
      <c r="AB24" s="14">
        <v>1</v>
      </c>
    </row>
    <row r="25" spans="1:28" ht="19.5" customHeight="1" x14ac:dyDescent="0.25">
      <c r="A25" s="2">
        <v>22</v>
      </c>
      <c r="B25" s="3" t="s">
        <v>40</v>
      </c>
      <c r="C25" s="4">
        <v>28</v>
      </c>
      <c r="D25" s="4">
        <v>0</v>
      </c>
      <c r="E25" s="4">
        <v>19</v>
      </c>
      <c r="F25" s="4">
        <v>0</v>
      </c>
      <c r="G25" s="5">
        <v>22</v>
      </c>
      <c r="H25" s="4">
        <v>0</v>
      </c>
      <c r="I25" s="4">
        <v>12</v>
      </c>
      <c r="J25" s="4">
        <v>0</v>
      </c>
      <c r="K25" s="4">
        <v>5</v>
      </c>
      <c r="L25" s="4">
        <v>0</v>
      </c>
      <c r="M25" s="4">
        <v>10</v>
      </c>
      <c r="N25" s="4">
        <v>0</v>
      </c>
      <c r="O25" s="4">
        <v>25</v>
      </c>
      <c r="P25" s="4">
        <v>0</v>
      </c>
      <c r="Q25" s="4">
        <v>37</v>
      </c>
      <c r="R25" s="4">
        <v>0</v>
      </c>
      <c r="S25" s="4">
        <v>48</v>
      </c>
      <c r="T25" s="4">
        <v>0</v>
      </c>
      <c r="U25" s="4">
        <v>49</v>
      </c>
      <c r="V25" s="4">
        <v>0</v>
      </c>
      <c r="W25" s="4">
        <v>89</v>
      </c>
      <c r="X25" s="4">
        <v>0</v>
      </c>
      <c r="Y25" s="4">
        <v>55</v>
      </c>
      <c r="Z25" s="4">
        <v>0</v>
      </c>
      <c r="AA25" s="14">
        <v>399</v>
      </c>
      <c r="AB25" s="14">
        <v>0</v>
      </c>
    </row>
    <row r="26" spans="1:28" ht="19.5" customHeight="1" x14ac:dyDescent="0.25">
      <c r="A26" s="2">
        <v>23</v>
      </c>
      <c r="B26" s="3" t="s">
        <v>41</v>
      </c>
      <c r="C26" s="4">
        <v>18</v>
      </c>
      <c r="D26" s="4">
        <v>0</v>
      </c>
      <c r="E26" s="4">
        <v>9</v>
      </c>
      <c r="F26" s="4">
        <v>0</v>
      </c>
      <c r="G26" s="5">
        <v>6</v>
      </c>
      <c r="H26" s="4">
        <v>0</v>
      </c>
      <c r="I26" s="4">
        <v>3</v>
      </c>
      <c r="J26" s="4">
        <v>0</v>
      </c>
      <c r="K26" s="4">
        <v>4</v>
      </c>
      <c r="L26" s="4">
        <v>0</v>
      </c>
      <c r="M26" s="4">
        <v>1</v>
      </c>
      <c r="N26" s="4">
        <v>0</v>
      </c>
      <c r="O26" s="4">
        <v>8</v>
      </c>
      <c r="P26" s="4">
        <v>0</v>
      </c>
      <c r="Q26" s="4">
        <v>5</v>
      </c>
      <c r="R26" s="4">
        <v>0</v>
      </c>
      <c r="S26" s="4">
        <v>13</v>
      </c>
      <c r="T26" s="4">
        <v>0</v>
      </c>
      <c r="U26" s="4">
        <v>18</v>
      </c>
      <c r="V26" s="4">
        <v>0</v>
      </c>
      <c r="W26" s="4">
        <v>34</v>
      </c>
      <c r="X26" s="4">
        <v>0</v>
      </c>
      <c r="Y26" s="4">
        <v>21</v>
      </c>
      <c r="Z26" s="4">
        <v>0</v>
      </c>
      <c r="AA26" s="14">
        <v>140</v>
      </c>
      <c r="AB26" s="14">
        <v>0</v>
      </c>
    </row>
    <row r="27" spans="1:28" ht="19.5" customHeight="1" x14ac:dyDescent="0.25">
      <c r="A27" s="2">
        <v>24</v>
      </c>
      <c r="B27" s="3" t="s">
        <v>42</v>
      </c>
      <c r="C27" s="4">
        <v>41</v>
      </c>
      <c r="D27" s="4">
        <v>0</v>
      </c>
      <c r="E27" s="4">
        <v>31</v>
      </c>
      <c r="F27" s="4">
        <v>0</v>
      </c>
      <c r="G27" s="5">
        <v>16</v>
      </c>
      <c r="H27" s="4">
        <v>0</v>
      </c>
      <c r="I27" s="4">
        <v>11</v>
      </c>
      <c r="J27" s="4">
        <v>0</v>
      </c>
      <c r="K27" s="4">
        <v>14</v>
      </c>
      <c r="L27" s="4">
        <v>0</v>
      </c>
      <c r="M27" s="4">
        <v>5</v>
      </c>
      <c r="N27" s="4">
        <v>0</v>
      </c>
      <c r="O27" s="4">
        <v>18</v>
      </c>
      <c r="P27" s="4">
        <v>0</v>
      </c>
      <c r="Q27" s="4">
        <v>10</v>
      </c>
      <c r="R27" s="4">
        <v>0</v>
      </c>
      <c r="S27" s="4">
        <v>32</v>
      </c>
      <c r="T27" s="4">
        <v>0</v>
      </c>
      <c r="U27" s="4">
        <v>15</v>
      </c>
      <c r="V27" s="4">
        <v>0</v>
      </c>
      <c r="W27" s="4">
        <v>21</v>
      </c>
      <c r="X27" s="4">
        <v>0</v>
      </c>
      <c r="Y27" s="4">
        <v>24</v>
      </c>
      <c r="Z27" s="4">
        <v>0</v>
      </c>
      <c r="AA27" s="14">
        <v>238</v>
      </c>
      <c r="AB27" s="14">
        <v>0</v>
      </c>
    </row>
    <row r="28" spans="1:28" ht="19.5" customHeight="1" x14ac:dyDescent="0.25">
      <c r="A28" s="2">
        <v>25</v>
      </c>
      <c r="B28" s="3" t="s">
        <v>43</v>
      </c>
      <c r="C28" s="4">
        <v>102</v>
      </c>
      <c r="D28" s="4">
        <v>0</v>
      </c>
      <c r="E28" s="4">
        <v>53</v>
      </c>
      <c r="F28" s="4">
        <v>0</v>
      </c>
      <c r="G28" s="5">
        <v>55</v>
      </c>
      <c r="H28" s="4">
        <v>0</v>
      </c>
      <c r="I28" s="4">
        <v>48</v>
      </c>
      <c r="J28" s="4">
        <v>0</v>
      </c>
      <c r="K28" s="4">
        <v>61</v>
      </c>
      <c r="L28" s="4">
        <v>0</v>
      </c>
      <c r="M28" s="4">
        <v>64</v>
      </c>
      <c r="N28" s="4">
        <v>0</v>
      </c>
      <c r="O28" s="4">
        <v>64</v>
      </c>
      <c r="P28" s="4">
        <v>0</v>
      </c>
      <c r="Q28" s="4">
        <v>42</v>
      </c>
      <c r="R28" s="4">
        <v>0</v>
      </c>
      <c r="S28" s="4">
        <v>75</v>
      </c>
      <c r="T28" s="4">
        <v>0</v>
      </c>
      <c r="U28" s="4">
        <v>104</v>
      </c>
      <c r="V28" s="4">
        <v>0</v>
      </c>
      <c r="W28" s="4">
        <v>93</v>
      </c>
      <c r="X28" s="4">
        <v>0</v>
      </c>
      <c r="Y28" s="4">
        <v>80</v>
      </c>
      <c r="Z28" s="4">
        <v>0</v>
      </c>
      <c r="AA28" s="14">
        <v>841</v>
      </c>
      <c r="AB28" s="14">
        <v>0</v>
      </c>
    </row>
    <row r="29" spans="1:28" ht="19.5" customHeight="1" x14ac:dyDescent="0.25">
      <c r="A29" s="2">
        <v>26</v>
      </c>
      <c r="B29" s="3" t="s">
        <v>44</v>
      </c>
      <c r="C29" s="4">
        <v>8</v>
      </c>
      <c r="D29" s="4">
        <v>0</v>
      </c>
      <c r="E29" s="4">
        <v>4</v>
      </c>
      <c r="F29" s="4">
        <v>0</v>
      </c>
      <c r="G29" s="5">
        <v>4</v>
      </c>
      <c r="H29" s="4">
        <v>0</v>
      </c>
      <c r="I29" s="4">
        <v>3</v>
      </c>
      <c r="J29" s="4">
        <v>0</v>
      </c>
      <c r="K29" s="4">
        <v>8</v>
      </c>
      <c r="L29" s="4">
        <v>0</v>
      </c>
      <c r="M29" s="4">
        <v>14</v>
      </c>
      <c r="N29" s="4">
        <v>0</v>
      </c>
      <c r="O29" s="4">
        <v>14</v>
      </c>
      <c r="P29" s="4">
        <v>0</v>
      </c>
      <c r="Q29" s="4">
        <v>4</v>
      </c>
      <c r="R29" s="4">
        <v>0</v>
      </c>
      <c r="S29" s="4">
        <v>8</v>
      </c>
      <c r="T29" s="4">
        <v>0</v>
      </c>
      <c r="U29" s="4">
        <v>7</v>
      </c>
      <c r="V29" s="4">
        <v>0</v>
      </c>
      <c r="W29" s="4">
        <v>7</v>
      </c>
      <c r="X29" s="4">
        <v>0</v>
      </c>
      <c r="Y29" s="4">
        <v>10</v>
      </c>
      <c r="Z29" s="4">
        <v>0</v>
      </c>
      <c r="AA29" s="14">
        <v>91</v>
      </c>
      <c r="AB29" s="14">
        <v>0</v>
      </c>
    </row>
    <row r="30" spans="1:28" ht="19.5" customHeight="1" x14ac:dyDescent="0.25">
      <c r="A30" s="2">
        <v>27</v>
      </c>
      <c r="B30" s="3" t="s">
        <v>45</v>
      </c>
      <c r="C30" s="4">
        <v>30</v>
      </c>
      <c r="D30" s="4">
        <v>0</v>
      </c>
      <c r="E30" s="4">
        <v>22</v>
      </c>
      <c r="F30" s="4">
        <v>0</v>
      </c>
      <c r="G30" s="5">
        <v>30</v>
      </c>
      <c r="H30" s="4">
        <v>0</v>
      </c>
      <c r="I30" s="4">
        <v>20</v>
      </c>
      <c r="J30" s="4">
        <v>0</v>
      </c>
      <c r="K30" s="4">
        <v>36</v>
      </c>
      <c r="L30" s="4">
        <v>0</v>
      </c>
      <c r="M30" s="4">
        <v>37</v>
      </c>
      <c r="N30" s="4">
        <v>0</v>
      </c>
      <c r="O30" s="4">
        <v>50</v>
      </c>
      <c r="P30" s="4">
        <v>0</v>
      </c>
      <c r="Q30" s="4">
        <v>30</v>
      </c>
      <c r="R30" s="4">
        <v>0</v>
      </c>
      <c r="S30" s="4">
        <v>43</v>
      </c>
      <c r="T30" s="4">
        <v>0</v>
      </c>
      <c r="U30" s="4">
        <v>18</v>
      </c>
      <c r="V30" s="4">
        <v>0</v>
      </c>
      <c r="W30" s="4">
        <v>22</v>
      </c>
      <c r="X30" s="4">
        <v>0</v>
      </c>
      <c r="Y30" s="4">
        <v>17</v>
      </c>
      <c r="Z30" s="4">
        <v>0</v>
      </c>
      <c r="AA30" s="14">
        <v>355</v>
      </c>
      <c r="AB30" s="14">
        <v>0</v>
      </c>
    </row>
    <row r="31" spans="1:28" ht="19.5" customHeight="1" x14ac:dyDescent="0.25">
      <c r="A31" s="2">
        <v>28</v>
      </c>
      <c r="B31" s="3" t="s">
        <v>46</v>
      </c>
      <c r="C31" s="4">
        <v>179</v>
      </c>
      <c r="D31" s="4">
        <v>0</v>
      </c>
      <c r="E31" s="4">
        <v>105</v>
      </c>
      <c r="F31" s="4">
        <v>0</v>
      </c>
      <c r="G31" s="5">
        <v>105</v>
      </c>
      <c r="H31" s="4">
        <v>0</v>
      </c>
      <c r="I31" s="4">
        <v>54</v>
      </c>
      <c r="J31" s="4">
        <v>0</v>
      </c>
      <c r="K31" s="4">
        <v>41</v>
      </c>
      <c r="L31" s="4">
        <v>0</v>
      </c>
      <c r="M31" s="4">
        <v>81</v>
      </c>
      <c r="N31" s="4">
        <v>0</v>
      </c>
      <c r="O31" s="4">
        <v>136</v>
      </c>
      <c r="P31" s="4">
        <v>0</v>
      </c>
      <c r="Q31" s="4">
        <v>174</v>
      </c>
      <c r="R31" s="4">
        <v>0</v>
      </c>
      <c r="S31" s="4">
        <v>277</v>
      </c>
      <c r="T31" s="4">
        <v>0</v>
      </c>
      <c r="U31" s="4">
        <v>413</v>
      </c>
      <c r="V31" s="4">
        <v>0</v>
      </c>
      <c r="W31" s="4">
        <v>355</v>
      </c>
      <c r="X31" s="4">
        <v>0</v>
      </c>
      <c r="Y31" s="4">
        <v>223</v>
      </c>
      <c r="Z31" s="4">
        <v>0</v>
      </c>
      <c r="AA31" s="14">
        <v>2143</v>
      </c>
      <c r="AB31" s="14">
        <v>0</v>
      </c>
    </row>
    <row r="32" spans="1:28" ht="19.5" customHeight="1" x14ac:dyDescent="0.25">
      <c r="A32" s="2">
        <v>29</v>
      </c>
      <c r="B32" s="3" t="s">
        <v>47</v>
      </c>
      <c r="C32" s="4">
        <v>14</v>
      </c>
      <c r="D32" s="4">
        <v>0</v>
      </c>
      <c r="E32" s="4">
        <v>15</v>
      </c>
      <c r="F32" s="4">
        <v>0</v>
      </c>
      <c r="G32" s="5">
        <v>19</v>
      </c>
      <c r="H32" s="4">
        <v>0</v>
      </c>
      <c r="I32" s="4">
        <v>16</v>
      </c>
      <c r="J32" s="4">
        <v>0</v>
      </c>
      <c r="K32" s="4">
        <v>17</v>
      </c>
      <c r="L32" s="4">
        <v>0</v>
      </c>
      <c r="M32" s="4">
        <v>10</v>
      </c>
      <c r="N32" s="4">
        <v>0</v>
      </c>
      <c r="O32" s="4">
        <v>21</v>
      </c>
      <c r="P32" s="4">
        <v>0</v>
      </c>
      <c r="Q32" s="4">
        <v>32</v>
      </c>
      <c r="R32" s="4">
        <v>0</v>
      </c>
      <c r="S32" s="4">
        <v>43</v>
      </c>
      <c r="T32" s="4">
        <v>0</v>
      </c>
      <c r="U32" s="4">
        <v>43</v>
      </c>
      <c r="V32" s="4">
        <v>0</v>
      </c>
      <c r="W32" s="4">
        <v>51</v>
      </c>
      <c r="X32" s="4">
        <v>0</v>
      </c>
      <c r="Y32" s="4">
        <v>17</v>
      </c>
      <c r="Z32" s="4">
        <v>0</v>
      </c>
      <c r="AA32" s="14">
        <v>298</v>
      </c>
      <c r="AB32" s="14">
        <v>0</v>
      </c>
    </row>
    <row r="33" spans="1:28" ht="19.5" customHeight="1" x14ac:dyDescent="0.25">
      <c r="A33" s="2">
        <v>30</v>
      </c>
      <c r="B33" s="3" t="s">
        <v>48</v>
      </c>
      <c r="C33" s="4">
        <v>71</v>
      </c>
      <c r="D33" s="4">
        <v>0</v>
      </c>
      <c r="E33" s="4">
        <v>29</v>
      </c>
      <c r="F33" s="4">
        <v>0</v>
      </c>
      <c r="G33" s="5">
        <v>21</v>
      </c>
      <c r="H33" s="4">
        <v>0</v>
      </c>
      <c r="I33" s="4">
        <v>11</v>
      </c>
      <c r="J33" s="4">
        <v>0</v>
      </c>
      <c r="K33" s="4">
        <v>13</v>
      </c>
      <c r="L33" s="4">
        <v>0</v>
      </c>
      <c r="M33" s="4">
        <v>14</v>
      </c>
      <c r="N33" s="4">
        <v>0</v>
      </c>
      <c r="O33" s="4">
        <v>24</v>
      </c>
      <c r="P33" s="4">
        <v>0</v>
      </c>
      <c r="Q33" s="4">
        <v>27</v>
      </c>
      <c r="R33" s="4">
        <v>0</v>
      </c>
      <c r="S33" s="4">
        <v>46</v>
      </c>
      <c r="T33" s="4">
        <v>0</v>
      </c>
      <c r="U33" s="4">
        <v>80</v>
      </c>
      <c r="V33" s="4">
        <v>0</v>
      </c>
      <c r="W33" s="4">
        <v>68</v>
      </c>
      <c r="X33" s="4">
        <v>0</v>
      </c>
      <c r="Y33" s="4">
        <v>35</v>
      </c>
      <c r="Z33" s="4">
        <v>0</v>
      </c>
      <c r="AA33" s="14">
        <v>439</v>
      </c>
      <c r="AB33" s="14">
        <v>0</v>
      </c>
    </row>
    <row r="34" spans="1:28" ht="19.5" customHeight="1" x14ac:dyDescent="0.25">
      <c r="A34" s="2">
        <v>31</v>
      </c>
      <c r="B34" s="3" t="s">
        <v>49</v>
      </c>
      <c r="C34" s="4">
        <v>86</v>
      </c>
      <c r="D34" s="4">
        <v>0</v>
      </c>
      <c r="E34" s="4">
        <v>17</v>
      </c>
      <c r="F34" s="4">
        <v>0</v>
      </c>
      <c r="G34" s="5">
        <v>10</v>
      </c>
      <c r="H34" s="4">
        <v>0</v>
      </c>
      <c r="I34" s="4">
        <v>34</v>
      </c>
      <c r="J34" s="4">
        <v>0</v>
      </c>
      <c r="K34" s="4">
        <v>18</v>
      </c>
      <c r="L34" s="4">
        <v>0</v>
      </c>
      <c r="M34" s="4">
        <v>17</v>
      </c>
      <c r="N34" s="4">
        <v>0</v>
      </c>
      <c r="O34" s="4">
        <v>38</v>
      </c>
      <c r="P34" s="4">
        <v>0</v>
      </c>
      <c r="Q34" s="4">
        <v>24</v>
      </c>
      <c r="R34" s="4">
        <v>1</v>
      </c>
      <c r="S34" s="4">
        <v>24</v>
      </c>
      <c r="T34" s="4">
        <v>0</v>
      </c>
      <c r="U34" s="4">
        <v>7</v>
      </c>
      <c r="V34" s="4">
        <v>0</v>
      </c>
      <c r="W34" s="4">
        <v>32</v>
      </c>
      <c r="X34" s="4">
        <v>0</v>
      </c>
      <c r="Y34" s="4">
        <v>18</v>
      </c>
      <c r="Z34" s="4">
        <v>0</v>
      </c>
      <c r="AA34" s="14">
        <v>325</v>
      </c>
      <c r="AB34" s="14">
        <v>1</v>
      </c>
    </row>
    <row r="35" spans="1:28" ht="19.5" customHeight="1" x14ac:dyDescent="0.25">
      <c r="A35" s="2">
        <v>32</v>
      </c>
      <c r="B35" s="3" t="s">
        <v>50</v>
      </c>
      <c r="C35" s="4">
        <v>9</v>
      </c>
      <c r="D35" s="4">
        <v>0</v>
      </c>
      <c r="E35" s="4">
        <v>27</v>
      </c>
      <c r="F35" s="4">
        <v>0</v>
      </c>
      <c r="G35" s="5">
        <v>13</v>
      </c>
      <c r="H35" s="4">
        <v>0</v>
      </c>
      <c r="I35" s="4">
        <v>10</v>
      </c>
      <c r="J35" s="4">
        <v>0</v>
      </c>
      <c r="K35" s="4">
        <v>13</v>
      </c>
      <c r="L35" s="4">
        <v>0</v>
      </c>
      <c r="M35" s="4">
        <v>8</v>
      </c>
      <c r="N35" s="4">
        <v>0</v>
      </c>
      <c r="O35" s="4">
        <v>11</v>
      </c>
      <c r="P35" s="4">
        <v>0</v>
      </c>
      <c r="Q35" s="4">
        <v>21</v>
      </c>
      <c r="R35" s="4">
        <v>0</v>
      </c>
      <c r="S35" s="4">
        <v>35</v>
      </c>
      <c r="T35" s="4">
        <v>0</v>
      </c>
      <c r="U35" s="4">
        <v>38</v>
      </c>
      <c r="V35" s="4">
        <v>0</v>
      </c>
      <c r="W35" s="4">
        <v>22</v>
      </c>
      <c r="X35" s="4">
        <v>0</v>
      </c>
      <c r="Y35" s="4">
        <v>14</v>
      </c>
      <c r="Z35" s="4">
        <v>0</v>
      </c>
      <c r="AA35" s="14">
        <v>221</v>
      </c>
      <c r="AB35" s="14">
        <v>0</v>
      </c>
    </row>
    <row r="36" spans="1:28" ht="19.5" customHeight="1" x14ac:dyDescent="0.25">
      <c r="A36" s="2">
        <v>33</v>
      </c>
      <c r="B36" s="3" t="s">
        <v>51</v>
      </c>
      <c r="C36" s="4">
        <v>100</v>
      </c>
      <c r="D36" s="4">
        <v>0</v>
      </c>
      <c r="E36" s="4">
        <v>53</v>
      </c>
      <c r="F36" s="4">
        <v>0</v>
      </c>
      <c r="G36" s="5">
        <v>40</v>
      </c>
      <c r="H36" s="4">
        <v>0</v>
      </c>
      <c r="I36" s="4">
        <v>14</v>
      </c>
      <c r="J36" s="4">
        <v>0</v>
      </c>
      <c r="K36" s="4">
        <v>24</v>
      </c>
      <c r="L36" s="4">
        <v>0</v>
      </c>
      <c r="M36" s="4">
        <v>33</v>
      </c>
      <c r="N36" s="4">
        <v>0</v>
      </c>
      <c r="O36" s="4">
        <v>31</v>
      </c>
      <c r="P36" s="4">
        <v>0</v>
      </c>
      <c r="Q36" s="4">
        <v>25</v>
      </c>
      <c r="R36" s="4">
        <v>0</v>
      </c>
      <c r="S36" s="4">
        <v>21</v>
      </c>
      <c r="T36" s="4">
        <v>0</v>
      </c>
      <c r="U36" s="4">
        <v>36</v>
      </c>
      <c r="V36" s="4">
        <v>0</v>
      </c>
      <c r="W36" s="4">
        <v>34</v>
      </c>
      <c r="X36" s="4">
        <v>1</v>
      </c>
      <c r="Y36" s="4">
        <v>55</v>
      </c>
      <c r="Z36" s="4">
        <v>0</v>
      </c>
      <c r="AA36" s="14">
        <v>466</v>
      </c>
      <c r="AB36" s="14">
        <v>1</v>
      </c>
    </row>
    <row r="37" spans="1:28" ht="19.5" customHeight="1" x14ac:dyDescent="0.25">
      <c r="A37" s="2">
        <v>34</v>
      </c>
      <c r="B37" s="3" t="s">
        <v>52</v>
      </c>
      <c r="C37" s="4">
        <v>89</v>
      </c>
      <c r="D37" s="4">
        <v>0</v>
      </c>
      <c r="E37" s="4">
        <v>42</v>
      </c>
      <c r="F37" s="4">
        <v>0</v>
      </c>
      <c r="G37" s="5">
        <v>41</v>
      </c>
      <c r="H37" s="4">
        <v>0</v>
      </c>
      <c r="I37" s="4">
        <v>40</v>
      </c>
      <c r="J37" s="4">
        <v>0</v>
      </c>
      <c r="K37" s="4">
        <v>28</v>
      </c>
      <c r="L37" s="4">
        <v>0</v>
      </c>
      <c r="M37" s="4">
        <v>34</v>
      </c>
      <c r="N37" s="4">
        <v>0</v>
      </c>
      <c r="O37" s="4">
        <v>56</v>
      </c>
      <c r="P37" s="4">
        <v>0</v>
      </c>
      <c r="Q37" s="4">
        <v>61</v>
      </c>
      <c r="R37" s="4">
        <v>0</v>
      </c>
      <c r="S37" s="4">
        <v>107</v>
      </c>
      <c r="T37" s="4">
        <v>0</v>
      </c>
      <c r="U37" s="4">
        <v>105</v>
      </c>
      <c r="V37" s="4">
        <v>0</v>
      </c>
      <c r="W37" s="4">
        <v>120</v>
      </c>
      <c r="X37" s="4">
        <v>0</v>
      </c>
      <c r="Y37" s="4">
        <v>76</v>
      </c>
      <c r="Z37" s="4">
        <v>0</v>
      </c>
      <c r="AA37" s="14">
        <v>799</v>
      </c>
      <c r="AB37" s="14">
        <v>0</v>
      </c>
    </row>
    <row r="38" spans="1:28" ht="19.5" customHeight="1" x14ac:dyDescent="0.25">
      <c r="A38" s="2">
        <v>35</v>
      </c>
      <c r="B38" s="3" t="s">
        <v>53</v>
      </c>
      <c r="C38" s="4">
        <v>31</v>
      </c>
      <c r="D38" s="4">
        <v>0</v>
      </c>
      <c r="E38" s="4">
        <v>30</v>
      </c>
      <c r="F38" s="4">
        <v>0</v>
      </c>
      <c r="G38" s="5">
        <v>24</v>
      </c>
      <c r="H38" s="4">
        <v>0</v>
      </c>
      <c r="I38" s="4">
        <v>21</v>
      </c>
      <c r="J38" s="4">
        <v>1</v>
      </c>
      <c r="K38" s="4">
        <v>20</v>
      </c>
      <c r="L38" s="4">
        <v>0</v>
      </c>
      <c r="M38" s="4">
        <v>5</v>
      </c>
      <c r="N38" s="4">
        <v>0</v>
      </c>
      <c r="O38" s="4">
        <v>14</v>
      </c>
      <c r="P38" s="4">
        <v>0</v>
      </c>
      <c r="Q38" s="4">
        <v>25</v>
      </c>
      <c r="R38" s="4">
        <v>0</v>
      </c>
      <c r="S38" s="4">
        <v>36</v>
      </c>
      <c r="T38" s="4">
        <v>0</v>
      </c>
      <c r="U38" s="4">
        <v>17</v>
      </c>
      <c r="V38" s="4">
        <v>0</v>
      </c>
      <c r="W38" s="4">
        <v>24</v>
      </c>
      <c r="X38" s="4">
        <v>0</v>
      </c>
      <c r="Y38" s="4">
        <v>15</v>
      </c>
      <c r="Z38" s="4">
        <v>0</v>
      </c>
      <c r="AA38" s="14">
        <v>262</v>
      </c>
      <c r="AB38" s="14">
        <v>1</v>
      </c>
    </row>
    <row r="39" spans="1:28" ht="19.5" customHeight="1" x14ac:dyDescent="0.25">
      <c r="A39" s="2">
        <v>36</v>
      </c>
      <c r="B39" s="3" t="s">
        <v>54</v>
      </c>
      <c r="C39" s="4">
        <v>67</v>
      </c>
      <c r="D39" s="4">
        <v>0</v>
      </c>
      <c r="E39" s="4">
        <v>36</v>
      </c>
      <c r="F39" s="4">
        <v>0</v>
      </c>
      <c r="G39" s="5">
        <v>25</v>
      </c>
      <c r="H39" s="4">
        <v>1</v>
      </c>
      <c r="I39" s="4">
        <v>20</v>
      </c>
      <c r="J39" s="4">
        <v>0</v>
      </c>
      <c r="K39" s="4">
        <v>18</v>
      </c>
      <c r="L39" s="4">
        <v>0</v>
      </c>
      <c r="M39" s="4">
        <v>19</v>
      </c>
      <c r="N39" s="4">
        <v>0</v>
      </c>
      <c r="O39" s="4">
        <v>34</v>
      </c>
      <c r="P39" s="4">
        <v>0</v>
      </c>
      <c r="Q39" s="4">
        <v>41</v>
      </c>
      <c r="R39" s="4">
        <v>0</v>
      </c>
      <c r="S39" s="4">
        <v>62</v>
      </c>
      <c r="T39" s="4">
        <v>0</v>
      </c>
      <c r="U39" s="4">
        <v>83</v>
      </c>
      <c r="V39" s="4">
        <v>1</v>
      </c>
      <c r="W39" s="4">
        <v>100</v>
      </c>
      <c r="X39" s="4">
        <v>0</v>
      </c>
      <c r="Y39" s="4">
        <v>54</v>
      </c>
      <c r="Z39" s="4">
        <v>0</v>
      </c>
      <c r="AA39" s="14">
        <v>559</v>
      </c>
      <c r="AB39" s="14">
        <v>2</v>
      </c>
    </row>
    <row r="40" spans="1:28" ht="19.5" customHeight="1" x14ac:dyDescent="0.25">
      <c r="A40" s="2">
        <v>37</v>
      </c>
      <c r="B40" s="3" t="s">
        <v>55</v>
      </c>
      <c r="C40" s="4">
        <v>85</v>
      </c>
      <c r="D40" s="4">
        <v>0</v>
      </c>
      <c r="E40" s="4">
        <v>62</v>
      </c>
      <c r="F40" s="4">
        <v>0</v>
      </c>
      <c r="G40" s="5">
        <v>38</v>
      </c>
      <c r="H40" s="4">
        <v>0</v>
      </c>
      <c r="I40" s="4">
        <v>16</v>
      </c>
      <c r="J40" s="4">
        <v>0</v>
      </c>
      <c r="K40" s="4">
        <v>22</v>
      </c>
      <c r="L40" s="4">
        <v>0</v>
      </c>
      <c r="M40" s="4">
        <v>33</v>
      </c>
      <c r="N40" s="4">
        <v>0</v>
      </c>
      <c r="O40" s="4">
        <v>37</v>
      </c>
      <c r="P40" s="4">
        <v>0</v>
      </c>
      <c r="Q40" s="4">
        <v>47</v>
      </c>
      <c r="R40" s="4">
        <v>0</v>
      </c>
      <c r="S40" s="4">
        <v>89</v>
      </c>
      <c r="T40" s="4">
        <v>0</v>
      </c>
      <c r="U40" s="4">
        <v>96</v>
      </c>
      <c r="V40" s="4">
        <v>0</v>
      </c>
      <c r="W40" s="4">
        <v>158</v>
      </c>
      <c r="X40" s="4">
        <v>0</v>
      </c>
      <c r="Y40" s="4">
        <v>105</v>
      </c>
      <c r="Z40" s="4">
        <v>0</v>
      </c>
      <c r="AA40" s="14">
        <v>788</v>
      </c>
      <c r="AB40" s="14">
        <v>0</v>
      </c>
    </row>
    <row r="41" spans="1:28" ht="19.5" customHeight="1" x14ac:dyDescent="0.25">
      <c r="A41" s="2">
        <v>38</v>
      </c>
      <c r="B41" s="3" t="s">
        <v>56</v>
      </c>
      <c r="C41" s="4">
        <v>35</v>
      </c>
      <c r="D41" s="4">
        <v>0</v>
      </c>
      <c r="E41" s="4">
        <v>13</v>
      </c>
      <c r="F41" s="4">
        <v>0</v>
      </c>
      <c r="G41" s="4">
        <v>11</v>
      </c>
      <c r="H41" s="4">
        <v>0</v>
      </c>
      <c r="I41" s="4">
        <v>20</v>
      </c>
      <c r="J41" s="4">
        <v>0</v>
      </c>
      <c r="K41" s="4">
        <v>7</v>
      </c>
      <c r="L41" s="4">
        <v>0</v>
      </c>
      <c r="M41" s="4">
        <v>19</v>
      </c>
      <c r="N41" s="4">
        <v>0</v>
      </c>
      <c r="O41" s="4">
        <v>11</v>
      </c>
      <c r="P41" s="4">
        <v>0</v>
      </c>
      <c r="Q41" s="4">
        <v>9</v>
      </c>
      <c r="R41" s="4">
        <v>0</v>
      </c>
      <c r="S41" s="4">
        <v>10</v>
      </c>
      <c r="T41" s="4">
        <v>0</v>
      </c>
      <c r="U41" s="4">
        <v>23</v>
      </c>
      <c r="V41" s="4">
        <v>0</v>
      </c>
      <c r="W41" s="4">
        <v>17</v>
      </c>
      <c r="X41" s="4">
        <v>0</v>
      </c>
      <c r="Y41" s="4">
        <v>17</v>
      </c>
      <c r="Z41" s="4">
        <v>0</v>
      </c>
      <c r="AA41" s="14">
        <v>192</v>
      </c>
      <c r="AB41" s="14">
        <v>0</v>
      </c>
    </row>
    <row r="42" spans="1:28" s="10" customFormat="1" ht="19.5" customHeight="1" x14ac:dyDescent="0.25">
      <c r="A42" s="7"/>
      <c r="B42" s="3" t="s">
        <v>16</v>
      </c>
      <c r="C42" s="8">
        <f t="shared" ref="C42:AB42" si="0">SUM(C4:C41)</f>
        <v>2839</v>
      </c>
      <c r="D42" s="8">
        <f t="shared" si="0"/>
        <v>1</v>
      </c>
      <c r="E42" s="8">
        <f t="shared" si="0"/>
        <v>1773</v>
      </c>
      <c r="F42" s="8">
        <f t="shared" si="0"/>
        <v>0</v>
      </c>
      <c r="G42" s="9">
        <f t="shared" si="0"/>
        <v>1348</v>
      </c>
      <c r="H42" s="8">
        <f t="shared" si="0"/>
        <v>2</v>
      </c>
      <c r="I42" s="8">
        <f t="shared" si="0"/>
        <v>1039</v>
      </c>
      <c r="J42" s="8">
        <f t="shared" si="0"/>
        <v>1</v>
      </c>
      <c r="K42" s="8">
        <f t="shared" si="0"/>
        <v>1031</v>
      </c>
      <c r="L42" s="4">
        <f t="shared" si="0"/>
        <v>0</v>
      </c>
      <c r="M42" s="8">
        <f t="shared" si="0"/>
        <v>1314</v>
      </c>
      <c r="N42" s="4">
        <f t="shared" si="0"/>
        <v>0</v>
      </c>
      <c r="O42" s="8">
        <f t="shared" si="0"/>
        <v>1880</v>
      </c>
      <c r="P42" s="8">
        <f t="shared" si="0"/>
        <v>2</v>
      </c>
      <c r="Q42" s="8">
        <f t="shared" si="0"/>
        <v>1832</v>
      </c>
      <c r="R42" s="8">
        <f t="shared" si="0"/>
        <v>1</v>
      </c>
      <c r="S42" s="8">
        <f t="shared" si="0"/>
        <v>2604</v>
      </c>
      <c r="T42" s="8">
        <f t="shared" si="0"/>
        <v>1</v>
      </c>
      <c r="U42" s="8">
        <f t="shared" si="0"/>
        <v>3287</v>
      </c>
      <c r="V42" s="8">
        <f t="shared" si="0"/>
        <v>1</v>
      </c>
      <c r="W42" s="8">
        <f t="shared" si="0"/>
        <v>3802</v>
      </c>
      <c r="X42" s="8">
        <f t="shared" si="0"/>
        <v>3</v>
      </c>
      <c r="Y42" s="8">
        <f t="shared" si="0"/>
        <v>2772</v>
      </c>
      <c r="Z42" s="8">
        <f t="shared" si="0"/>
        <v>0</v>
      </c>
      <c r="AA42" s="6">
        <f t="shared" si="0"/>
        <v>25521</v>
      </c>
      <c r="AB42" s="6">
        <f t="shared" si="0"/>
        <v>12</v>
      </c>
    </row>
    <row r="43" spans="1:28" s="10" customFormat="1" ht="21" customHeight="1" x14ac:dyDescent="0.25">
      <c r="A43" s="11"/>
      <c r="B43" s="12" t="s">
        <v>17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3"/>
    </row>
  </sheetData>
  <mergeCells count="16">
    <mergeCell ref="AA2:AB2"/>
    <mergeCell ref="A1:AB1"/>
    <mergeCell ref="A2:A3"/>
    <mergeCell ref="B2:B3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printOptions horizontalCentered="1" verticalCentered="1"/>
  <pageMargins left="0" right="0" top="0" bottom="0" header="0" footer="0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3"/>
  <sheetViews>
    <sheetView view="pageBreakPreview" topLeftCell="C28" zoomScaleSheetLayoutView="100" workbookViewId="0">
      <selection activeCell="W45" sqref="W45"/>
    </sheetView>
  </sheetViews>
  <sheetFormatPr defaultRowHeight="15" x14ac:dyDescent="0.25"/>
  <cols>
    <col min="1" max="1" width="6.5703125" customWidth="1"/>
    <col min="2" max="2" width="23.42578125" customWidth="1"/>
    <col min="3" max="3" width="8" customWidth="1"/>
    <col min="4" max="4" width="5.7109375" customWidth="1"/>
    <col min="5" max="5" width="8" customWidth="1"/>
    <col min="6" max="6" width="6.140625" customWidth="1"/>
    <col min="7" max="7" width="8" customWidth="1"/>
    <col min="8" max="8" width="6.42578125" customWidth="1"/>
    <col min="9" max="9" width="8" customWidth="1"/>
    <col min="10" max="10" width="6.7109375" customWidth="1"/>
    <col min="11" max="11" width="8" customWidth="1"/>
    <col min="12" max="12" width="5.42578125" customWidth="1"/>
    <col min="13" max="13" width="8" customWidth="1"/>
    <col min="14" max="14" width="10.85546875" customWidth="1"/>
    <col min="15" max="15" width="8" customWidth="1"/>
    <col min="16" max="16" width="6.42578125" customWidth="1"/>
    <col min="17" max="17" width="8" customWidth="1"/>
    <col min="18" max="18" width="6.7109375" customWidth="1"/>
    <col min="19" max="19" width="8" customWidth="1"/>
    <col min="20" max="20" width="5.42578125" customWidth="1"/>
    <col min="21" max="21" width="7.140625" customWidth="1"/>
    <col min="22" max="22" width="5.42578125" customWidth="1"/>
    <col min="23" max="23" width="7.140625" customWidth="1"/>
    <col min="24" max="24" width="5.42578125" customWidth="1"/>
    <col min="25" max="25" width="7.28515625" customWidth="1"/>
    <col min="26" max="26" width="5.42578125" customWidth="1"/>
    <col min="27" max="27" width="11.7109375" customWidth="1"/>
    <col min="28" max="28" width="8" customWidth="1"/>
  </cols>
  <sheetData>
    <row r="1" spans="1:28" ht="35.25" customHeight="1" x14ac:dyDescent="0.25">
      <c r="A1" s="25" t="s">
        <v>63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34.5" customHeight="1" x14ac:dyDescent="0.25">
      <c r="A2" s="24" t="s">
        <v>0</v>
      </c>
      <c r="B2" s="24" t="s">
        <v>18</v>
      </c>
      <c r="C2" s="27" t="s">
        <v>1</v>
      </c>
      <c r="D2" s="27"/>
      <c r="E2" s="27" t="s">
        <v>2</v>
      </c>
      <c r="F2" s="27"/>
      <c r="G2" s="27" t="s">
        <v>3</v>
      </c>
      <c r="H2" s="27"/>
      <c r="I2" s="27" t="s">
        <v>4</v>
      </c>
      <c r="J2" s="27"/>
      <c r="K2" s="27" t="s">
        <v>5</v>
      </c>
      <c r="L2" s="27"/>
      <c r="M2" s="27" t="s">
        <v>60</v>
      </c>
      <c r="N2" s="27"/>
      <c r="O2" s="27" t="s">
        <v>7</v>
      </c>
      <c r="P2" s="27"/>
      <c r="Q2" s="27" t="s">
        <v>8</v>
      </c>
      <c r="R2" s="27"/>
      <c r="S2" s="28" t="s">
        <v>9</v>
      </c>
      <c r="T2" s="29"/>
      <c r="U2" s="28" t="s">
        <v>10</v>
      </c>
      <c r="V2" s="29"/>
      <c r="W2" s="28" t="s">
        <v>11</v>
      </c>
      <c r="X2" s="29"/>
      <c r="Y2" s="28" t="s">
        <v>12</v>
      </c>
      <c r="Z2" s="29"/>
      <c r="AA2" s="24" t="s">
        <v>13</v>
      </c>
      <c r="AB2" s="24"/>
    </row>
    <row r="3" spans="1:28" ht="21" customHeight="1" x14ac:dyDescent="0.25">
      <c r="A3" s="26"/>
      <c r="B3" s="24"/>
      <c r="C3" s="1" t="s">
        <v>14</v>
      </c>
      <c r="D3" s="1" t="s">
        <v>15</v>
      </c>
      <c r="E3" s="1" t="s">
        <v>14</v>
      </c>
      <c r="F3" s="1" t="s">
        <v>15</v>
      </c>
      <c r="G3" s="1" t="s">
        <v>14</v>
      </c>
      <c r="H3" s="1" t="s">
        <v>15</v>
      </c>
      <c r="I3" s="1" t="s">
        <v>14</v>
      </c>
      <c r="J3" s="1" t="s">
        <v>15</v>
      </c>
      <c r="K3" s="1" t="s">
        <v>14</v>
      </c>
      <c r="L3" s="1" t="s">
        <v>15</v>
      </c>
      <c r="M3" s="1" t="s">
        <v>14</v>
      </c>
      <c r="N3" s="1" t="s">
        <v>15</v>
      </c>
      <c r="O3" s="1" t="s">
        <v>14</v>
      </c>
      <c r="P3" s="1" t="s">
        <v>15</v>
      </c>
      <c r="Q3" s="1" t="s">
        <v>14</v>
      </c>
      <c r="R3" s="1" t="s">
        <v>15</v>
      </c>
      <c r="S3" s="1" t="s">
        <v>14</v>
      </c>
      <c r="T3" s="1" t="s">
        <v>15</v>
      </c>
      <c r="U3" s="1" t="s">
        <v>14</v>
      </c>
      <c r="V3" s="1" t="s">
        <v>15</v>
      </c>
      <c r="W3" s="1" t="s">
        <v>14</v>
      </c>
      <c r="X3" s="1" t="s">
        <v>15</v>
      </c>
      <c r="Y3" s="1" t="s">
        <v>14</v>
      </c>
      <c r="Z3" s="1" t="s">
        <v>15</v>
      </c>
      <c r="AA3" s="1" t="s">
        <v>14</v>
      </c>
      <c r="AB3" s="1" t="s">
        <v>15</v>
      </c>
    </row>
    <row r="4" spans="1:28" ht="19.5" customHeight="1" x14ac:dyDescent="0.25">
      <c r="A4" s="2">
        <v>1</v>
      </c>
      <c r="B4" s="3" t="s">
        <v>19</v>
      </c>
      <c r="C4" s="4">
        <v>39</v>
      </c>
      <c r="D4" s="4">
        <v>0</v>
      </c>
      <c r="E4" s="4">
        <v>30</v>
      </c>
      <c r="F4" s="4">
        <v>0</v>
      </c>
      <c r="G4" s="5">
        <v>23</v>
      </c>
      <c r="H4" s="4">
        <v>0</v>
      </c>
      <c r="I4" s="4">
        <v>27</v>
      </c>
      <c r="J4" s="4">
        <v>0</v>
      </c>
      <c r="K4" s="4">
        <v>23</v>
      </c>
      <c r="L4" s="4">
        <v>0</v>
      </c>
      <c r="M4" s="4">
        <v>17</v>
      </c>
      <c r="N4" s="4"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6">
        <f>C4+E4+G4+I4+K4+M4</f>
        <v>159</v>
      </c>
      <c r="AB4" s="6">
        <f>D4+F4+H4+J4+L4+N4</f>
        <v>0</v>
      </c>
    </row>
    <row r="5" spans="1:28" ht="19.5" customHeight="1" x14ac:dyDescent="0.25">
      <c r="A5" s="2">
        <v>2</v>
      </c>
      <c r="B5" s="3" t="s">
        <v>20</v>
      </c>
      <c r="C5" s="4">
        <v>68</v>
      </c>
      <c r="D5" s="4">
        <v>0</v>
      </c>
      <c r="E5" s="4">
        <v>73</v>
      </c>
      <c r="F5" s="4">
        <v>0</v>
      </c>
      <c r="G5" s="5">
        <v>45</v>
      </c>
      <c r="H5" s="4">
        <v>0</v>
      </c>
      <c r="I5" s="4">
        <v>30</v>
      </c>
      <c r="J5" s="4">
        <v>0</v>
      </c>
      <c r="K5" s="4">
        <v>25</v>
      </c>
      <c r="L5" s="4">
        <v>0</v>
      </c>
      <c r="M5" s="4">
        <v>19</v>
      </c>
      <c r="N5" s="4">
        <v>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6">
        <f t="shared" ref="AA5:AA43" si="0">C5+E5+G5+I5+K5+M5</f>
        <v>260</v>
      </c>
      <c r="AB5" s="6">
        <f t="shared" ref="AB5:AB43" si="1">D5+F5+H5+J5+L5+N5</f>
        <v>0</v>
      </c>
    </row>
    <row r="6" spans="1:28" ht="19.5" customHeight="1" x14ac:dyDescent="0.25">
      <c r="A6" s="2">
        <v>3</v>
      </c>
      <c r="B6" s="3" t="s">
        <v>21</v>
      </c>
      <c r="C6" s="4">
        <v>401</v>
      </c>
      <c r="D6" s="4">
        <v>0</v>
      </c>
      <c r="E6" s="4">
        <v>273</v>
      </c>
      <c r="F6" s="4">
        <v>0</v>
      </c>
      <c r="G6" s="5">
        <v>227</v>
      </c>
      <c r="H6" s="4">
        <v>0</v>
      </c>
      <c r="I6" s="4">
        <v>177</v>
      </c>
      <c r="J6" s="4">
        <v>0</v>
      </c>
      <c r="K6" s="4">
        <v>225</v>
      </c>
      <c r="L6" s="4">
        <v>0</v>
      </c>
      <c r="M6" s="4">
        <v>130</v>
      </c>
      <c r="N6" s="4">
        <v>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6">
        <f t="shared" si="0"/>
        <v>1433</v>
      </c>
      <c r="AB6" s="6">
        <f t="shared" si="1"/>
        <v>0</v>
      </c>
    </row>
    <row r="7" spans="1:28" ht="19.5" customHeight="1" x14ac:dyDescent="0.25">
      <c r="A7" s="2">
        <v>4</v>
      </c>
      <c r="B7" s="3" t="s">
        <v>22</v>
      </c>
      <c r="C7" s="4">
        <v>243</v>
      </c>
      <c r="D7" s="4">
        <v>0</v>
      </c>
      <c r="E7" s="4">
        <v>146</v>
      </c>
      <c r="F7" s="4">
        <v>0</v>
      </c>
      <c r="G7" s="5">
        <v>138</v>
      </c>
      <c r="H7" s="4">
        <v>0</v>
      </c>
      <c r="I7" s="4">
        <v>153</v>
      </c>
      <c r="J7" s="4">
        <v>0</v>
      </c>
      <c r="K7" s="4">
        <v>141</v>
      </c>
      <c r="L7" s="4">
        <v>0</v>
      </c>
      <c r="M7" s="4">
        <v>109</v>
      </c>
      <c r="N7" s="4"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6">
        <f t="shared" si="0"/>
        <v>930</v>
      </c>
      <c r="AB7" s="6">
        <f t="shared" si="1"/>
        <v>0</v>
      </c>
    </row>
    <row r="8" spans="1:28" ht="19.5" customHeight="1" x14ac:dyDescent="0.25">
      <c r="A8" s="2">
        <v>5</v>
      </c>
      <c r="B8" s="3" t="s">
        <v>23</v>
      </c>
      <c r="C8" s="4">
        <v>69</v>
      </c>
      <c r="D8" s="4">
        <v>0</v>
      </c>
      <c r="E8" s="4">
        <v>76</v>
      </c>
      <c r="F8" s="4">
        <v>0</v>
      </c>
      <c r="G8" s="5">
        <v>76</v>
      </c>
      <c r="H8" s="4">
        <v>0</v>
      </c>
      <c r="I8" s="4">
        <v>75</v>
      </c>
      <c r="J8" s="4">
        <v>0</v>
      </c>
      <c r="K8" s="4">
        <v>65</v>
      </c>
      <c r="L8" s="4">
        <v>0</v>
      </c>
      <c r="M8" s="4">
        <v>72</v>
      </c>
      <c r="N8" s="4"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6">
        <f t="shared" si="0"/>
        <v>433</v>
      </c>
      <c r="AB8" s="6">
        <f t="shared" si="1"/>
        <v>0</v>
      </c>
    </row>
    <row r="9" spans="1:28" ht="19.5" customHeight="1" x14ac:dyDescent="0.25">
      <c r="A9" s="2">
        <v>6</v>
      </c>
      <c r="B9" s="3" t="s">
        <v>24</v>
      </c>
      <c r="C9" s="4">
        <v>5</v>
      </c>
      <c r="D9" s="4">
        <v>0</v>
      </c>
      <c r="E9" s="4">
        <v>1</v>
      </c>
      <c r="F9" s="4">
        <v>0</v>
      </c>
      <c r="G9" s="5">
        <v>13</v>
      </c>
      <c r="H9" s="4">
        <v>0</v>
      </c>
      <c r="I9" s="4">
        <v>1</v>
      </c>
      <c r="J9" s="4">
        <v>0</v>
      </c>
      <c r="K9" s="4">
        <v>4</v>
      </c>
      <c r="L9" s="4">
        <v>0</v>
      </c>
      <c r="M9" s="4">
        <v>0</v>
      </c>
      <c r="N9" s="4"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6">
        <f t="shared" si="0"/>
        <v>24</v>
      </c>
      <c r="AB9" s="6">
        <f t="shared" si="1"/>
        <v>0</v>
      </c>
    </row>
    <row r="10" spans="1:28" ht="19.5" customHeight="1" x14ac:dyDescent="0.25">
      <c r="A10" s="2">
        <v>7</v>
      </c>
      <c r="B10" s="3" t="s">
        <v>25</v>
      </c>
      <c r="C10" s="4">
        <v>19</v>
      </c>
      <c r="D10" s="4">
        <v>0</v>
      </c>
      <c r="E10" s="4">
        <v>9</v>
      </c>
      <c r="F10" s="4">
        <v>0</v>
      </c>
      <c r="G10" s="5">
        <v>16</v>
      </c>
      <c r="H10" s="4">
        <v>0</v>
      </c>
      <c r="I10" s="4">
        <v>15</v>
      </c>
      <c r="J10" s="4">
        <v>0</v>
      </c>
      <c r="K10" s="4">
        <v>8</v>
      </c>
      <c r="L10" s="4">
        <v>0</v>
      </c>
      <c r="M10" s="4">
        <v>8</v>
      </c>
      <c r="N10" s="4"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6">
        <f t="shared" si="0"/>
        <v>75</v>
      </c>
      <c r="AB10" s="6">
        <f t="shared" si="1"/>
        <v>0</v>
      </c>
    </row>
    <row r="11" spans="1:28" ht="19.5" customHeight="1" x14ac:dyDescent="0.25">
      <c r="A11" s="2">
        <v>8</v>
      </c>
      <c r="B11" s="3" t="s">
        <v>26</v>
      </c>
      <c r="C11" s="4">
        <v>36</v>
      </c>
      <c r="D11" s="4">
        <v>0</v>
      </c>
      <c r="E11" s="4">
        <v>33</v>
      </c>
      <c r="F11" s="4">
        <v>0</v>
      </c>
      <c r="G11" s="5">
        <v>26</v>
      </c>
      <c r="H11" s="4">
        <v>0</v>
      </c>
      <c r="I11" s="4">
        <v>26</v>
      </c>
      <c r="J11" s="4">
        <v>0</v>
      </c>
      <c r="K11" s="4">
        <v>29</v>
      </c>
      <c r="L11" s="4">
        <v>0</v>
      </c>
      <c r="M11" s="4">
        <v>25</v>
      </c>
      <c r="N11" s="4"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6">
        <f t="shared" si="0"/>
        <v>175</v>
      </c>
      <c r="AB11" s="6">
        <f t="shared" si="1"/>
        <v>0</v>
      </c>
    </row>
    <row r="12" spans="1:28" ht="19.5" customHeight="1" x14ac:dyDescent="0.25">
      <c r="A12" s="2">
        <v>9</v>
      </c>
      <c r="B12" s="3" t="s">
        <v>27</v>
      </c>
      <c r="C12" s="4">
        <v>14</v>
      </c>
      <c r="D12" s="4">
        <v>0</v>
      </c>
      <c r="E12" s="4">
        <v>15</v>
      </c>
      <c r="F12" s="4">
        <v>0</v>
      </c>
      <c r="G12" s="5">
        <v>9</v>
      </c>
      <c r="H12" s="4">
        <v>0</v>
      </c>
      <c r="I12" s="4">
        <v>9</v>
      </c>
      <c r="J12" s="4">
        <v>0</v>
      </c>
      <c r="K12" s="4">
        <v>6</v>
      </c>
      <c r="L12" s="4">
        <v>0</v>
      </c>
      <c r="M12" s="4">
        <v>2</v>
      </c>
      <c r="N12" s="4"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6">
        <f t="shared" si="0"/>
        <v>55</v>
      </c>
      <c r="AB12" s="6">
        <f t="shared" si="1"/>
        <v>0</v>
      </c>
    </row>
    <row r="13" spans="1:28" ht="19.5" customHeight="1" x14ac:dyDescent="0.25">
      <c r="A13" s="2">
        <v>10</v>
      </c>
      <c r="B13" s="3" t="s">
        <v>28</v>
      </c>
      <c r="C13" s="4">
        <v>50</v>
      </c>
      <c r="D13" s="4">
        <v>0</v>
      </c>
      <c r="E13" s="4">
        <v>48</v>
      </c>
      <c r="F13" s="4">
        <v>0</v>
      </c>
      <c r="G13" s="5">
        <v>53</v>
      </c>
      <c r="H13" s="4">
        <v>0</v>
      </c>
      <c r="I13" s="4">
        <v>40</v>
      </c>
      <c r="J13" s="4">
        <v>0</v>
      </c>
      <c r="K13" s="4">
        <v>29</v>
      </c>
      <c r="L13" s="4">
        <v>0</v>
      </c>
      <c r="M13" s="4">
        <v>29</v>
      </c>
      <c r="N13" s="4"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6">
        <f t="shared" si="0"/>
        <v>249</v>
      </c>
      <c r="AB13" s="6">
        <f t="shared" si="1"/>
        <v>0</v>
      </c>
    </row>
    <row r="14" spans="1:28" ht="19.5" customHeight="1" x14ac:dyDescent="0.25">
      <c r="A14" s="2">
        <v>11</v>
      </c>
      <c r="B14" s="3" t="s">
        <v>29</v>
      </c>
      <c r="C14" s="4">
        <v>40</v>
      </c>
      <c r="D14" s="4">
        <v>0</v>
      </c>
      <c r="E14" s="4">
        <v>18</v>
      </c>
      <c r="F14" s="4">
        <v>0</v>
      </c>
      <c r="G14" s="5">
        <v>28</v>
      </c>
      <c r="H14" s="4">
        <v>0</v>
      </c>
      <c r="I14" s="4">
        <v>38</v>
      </c>
      <c r="J14" s="4">
        <v>0</v>
      </c>
      <c r="K14" s="4">
        <v>41</v>
      </c>
      <c r="L14" s="4">
        <v>0</v>
      </c>
      <c r="M14" s="4">
        <v>54</v>
      </c>
      <c r="N14" s="4"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6">
        <f t="shared" si="0"/>
        <v>219</v>
      </c>
      <c r="AB14" s="6">
        <f t="shared" si="1"/>
        <v>0</v>
      </c>
    </row>
    <row r="15" spans="1:28" ht="19.5" customHeight="1" x14ac:dyDescent="0.25">
      <c r="A15" s="2">
        <v>12</v>
      </c>
      <c r="B15" s="3" t="s">
        <v>30</v>
      </c>
      <c r="C15" s="4">
        <v>9</v>
      </c>
      <c r="D15" s="4">
        <v>0</v>
      </c>
      <c r="E15" s="4">
        <v>9</v>
      </c>
      <c r="F15" s="4">
        <v>0</v>
      </c>
      <c r="G15" s="5">
        <v>7</v>
      </c>
      <c r="H15" s="4">
        <v>0</v>
      </c>
      <c r="I15" s="4">
        <v>26</v>
      </c>
      <c r="J15" s="4">
        <v>0</v>
      </c>
      <c r="K15" s="4">
        <v>16</v>
      </c>
      <c r="L15" s="4">
        <v>0</v>
      </c>
      <c r="M15" s="4">
        <v>16</v>
      </c>
      <c r="N15" s="4"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6">
        <f t="shared" si="0"/>
        <v>83</v>
      </c>
      <c r="AB15" s="6">
        <f t="shared" si="1"/>
        <v>0</v>
      </c>
    </row>
    <row r="16" spans="1:28" ht="19.5" customHeight="1" x14ac:dyDescent="0.25">
      <c r="A16" s="2">
        <v>13</v>
      </c>
      <c r="B16" s="3" t="s">
        <v>31</v>
      </c>
      <c r="C16" s="4">
        <v>11</v>
      </c>
      <c r="D16" s="4">
        <v>0</v>
      </c>
      <c r="E16" s="4">
        <v>13</v>
      </c>
      <c r="F16" s="4">
        <v>0</v>
      </c>
      <c r="G16" s="5">
        <v>16</v>
      </c>
      <c r="H16" s="4">
        <v>0</v>
      </c>
      <c r="I16" s="4">
        <v>22</v>
      </c>
      <c r="J16" s="4">
        <v>0</v>
      </c>
      <c r="K16" s="4">
        <v>15</v>
      </c>
      <c r="L16" s="4">
        <v>0</v>
      </c>
      <c r="M16" s="4">
        <v>17</v>
      </c>
      <c r="N16" s="4"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6">
        <f t="shared" si="0"/>
        <v>94</v>
      </c>
      <c r="AB16" s="6">
        <f t="shared" si="1"/>
        <v>0</v>
      </c>
    </row>
    <row r="17" spans="1:28" ht="19.5" customHeight="1" x14ac:dyDescent="0.25">
      <c r="A17" s="2">
        <v>14</v>
      </c>
      <c r="B17" s="3" t="s">
        <v>32</v>
      </c>
      <c r="C17" s="4">
        <v>30</v>
      </c>
      <c r="D17" s="4">
        <v>0</v>
      </c>
      <c r="E17" s="4">
        <v>20</v>
      </c>
      <c r="F17" s="4">
        <v>0</v>
      </c>
      <c r="G17" s="5">
        <v>17</v>
      </c>
      <c r="H17" s="4">
        <v>0</v>
      </c>
      <c r="I17" s="4">
        <v>18</v>
      </c>
      <c r="J17" s="4">
        <v>0</v>
      </c>
      <c r="K17" s="4">
        <v>15</v>
      </c>
      <c r="L17" s="4">
        <v>0</v>
      </c>
      <c r="M17" s="4">
        <v>12</v>
      </c>
      <c r="N17" s="4"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6">
        <f t="shared" si="0"/>
        <v>112</v>
      </c>
      <c r="AB17" s="6">
        <f t="shared" si="1"/>
        <v>0</v>
      </c>
    </row>
    <row r="18" spans="1:28" ht="19.5" customHeight="1" x14ac:dyDescent="0.25">
      <c r="A18" s="2">
        <v>15</v>
      </c>
      <c r="B18" s="3" t="s">
        <v>33</v>
      </c>
      <c r="C18" s="4">
        <v>4</v>
      </c>
      <c r="D18" s="4">
        <v>0</v>
      </c>
      <c r="E18" s="4">
        <v>6</v>
      </c>
      <c r="F18" s="4">
        <v>0</v>
      </c>
      <c r="G18" s="5">
        <v>26</v>
      </c>
      <c r="H18" s="4">
        <v>0</v>
      </c>
      <c r="I18" s="4">
        <v>9</v>
      </c>
      <c r="J18" s="4">
        <v>0</v>
      </c>
      <c r="K18" s="4">
        <v>6</v>
      </c>
      <c r="L18" s="4">
        <v>0</v>
      </c>
      <c r="M18" s="4">
        <v>8</v>
      </c>
      <c r="N18" s="4"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6">
        <f t="shared" si="0"/>
        <v>59</v>
      </c>
      <c r="AB18" s="6">
        <f t="shared" si="1"/>
        <v>0</v>
      </c>
    </row>
    <row r="19" spans="1:28" ht="19.5" customHeight="1" x14ac:dyDescent="0.25">
      <c r="A19" s="2">
        <v>16</v>
      </c>
      <c r="B19" s="3" t="s">
        <v>34</v>
      </c>
      <c r="C19" s="4">
        <v>15</v>
      </c>
      <c r="D19" s="4">
        <v>0</v>
      </c>
      <c r="E19" s="4">
        <v>5</v>
      </c>
      <c r="F19" s="4">
        <v>0</v>
      </c>
      <c r="G19" s="5">
        <v>13</v>
      </c>
      <c r="H19" s="4">
        <v>0</v>
      </c>
      <c r="I19" s="4">
        <v>11</v>
      </c>
      <c r="J19" s="4">
        <v>0</v>
      </c>
      <c r="K19" s="4">
        <v>5</v>
      </c>
      <c r="L19" s="4">
        <v>0</v>
      </c>
      <c r="M19" s="4">
        <v>3</v>
      </c>
      <c r="N19" s="4"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6">
        <f t="shared" si="0"/>
        <v>52</v>
      </c>
      <c r="AB19" s="6">
        <f t="shared" si="1"/>
        <v>0</v>
      </c>
    </row>
    <row r="20" spans="1:28" ht="19.5" customHeight="1" x14ac:dyDescent="0.25">
      <c r="A20" s="2">
        <v>17</v>
      </c>
      <c r="B20" s="3" t="s">
        <v>35</v>
      </c>
      <c r="C20" s="4">
        <v>30</v>
      </c>
      <c r="D20" s="4">
        <v>0</v>
      </c>
      <c r="E20" s="4">
        <v>22</v>
      </c>
      <c r="F20" s="4">
        <v>1</v>
      </c>
      <c r="G20" s="5">
        <v>9</v>
      </c>
      <c r="H20" s="4">
        <v>0</v>
      </c>
      <c r="I20" s="4">
        <v>8</v>
      </c>
      <c r="J20" s="4">
        <v>0</v>
      </c>
      <c r="K20" s="4">
        <v>7</v>
      </c>
      <c r="L20" s="4">
        <v>0</v>
      </c>
      <c r="M20" s="4">
        <v>7</v>
      </c>
      <c r="N20" s="4"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6">
        <f t="shared" si="0"/>
        <v>83</v>
      </c>
      <c r="AB20" s="6">
        <f t="shared" si="1"/>
        <v>1</v>
      </c>
    </row>
    <row r="21" spans="1:28" ht="19.5" customHeight="1" x14ac:dyDescent="0.25">
      <c r="A21" s="2">
        <v>18</v>
      </c>
      <c r="B21" s="3" t="s">
        <v>36</v>
      </c>
      <c r="C21" s="4">
        <v>18</v>
      </c>
      <c r="D21" s="4">
        <v>0</v>
      </c>
      <c r="E21" s="4">
        <v>11</v>
      </c>
      <c r="F21" s="4">
        <v>0</v>
      </c>
      <c r="G21" s="5">
        <v>5</v>
      </c>
      <c r="H21" s="4">
        <v>0</v>
      </c>
      <c r="I21" s="4">
        <v>5</v>
      </c>
      <c r="J21" s="4">
        <v>0</v>
      </c>
      <c r="K21" s="4">
        <v>10</v>
      </c>
      <c r="L21" s="4">
        <v>0</v>
      </c>
      <c r="M21" s="4">
        <v>5</v>
      </c>
      <c r="N21" s="4"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6">
        <f t="shared" si="0"/>
        <v>54</v>
      </c>
      <c r="AB21" s="6">
        <f t="shared" si="1"/>
        <v>0</v>
      </c>
    </row>
    <row r="22" spans="1:28" ht="19.5" customHeight="1" x14ac:dyDescent="0.25">
      <c r="A22" s="2">
        <v>19</v>
      </c>
      <c r="B22" s="3" t="s">
        <v>37</v>
      </c>
      <c r="C22" s="4">
        <v>35</v>
      </c>
      <c r="D22" s="4">
        <v>0</v>
      </c>
      <c r="E22" s="4">
        <v>35</v>
      </c>
      <c r="F22" s="4">
        <v>0</v>
      </c>
      <c r="G22" s="5">
        <v>28</v>
      </c>
      <c r="H22" s="4">
        <v>0</v>
      </c>
      <c r="I22" s="4">
        <v>40</v>
      </c>
      <c r="J22" s="4">
        <v>0</v>
      </c>
      <c r="K22" s="4">
        <v>29</v>
      </c>
      <c r="L22" s="4">
        <v>0</v>
      </c>
      <c r="M22" s="4">
        <v>28</v>
      </c>
      <c r="N22" s="4"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6">
        <f t="shared" si="0"/>
        <v>195</v>
      </c>
      <c r="AB22" s="6">
        <f t="shared" si="1"/>
        <v>0</v>
      </c>
    </row>
    <row r="23" spans="1:28" ht="19.5" customHeight="1" x14ac:dyDescent="0.25">
      <c r="A23" s="2">
        <v>20</v>
      </c>
      <c r="B23" s="3" t="s">
        <v>38</v>
      </c>
      <c r="C23" s="4">
        <v>41</v>
      </c>
      <c r="D23" s="4">
        <v>0</v>
      </c>
      <c r="E23" s="4">
        <v>48</v>
      </c>
      <c r="F23" s="4">
        <v>0</v>
      </c>
      <c r="G23" s="5">
        <v>29</v>
      </c>
      <c r="H23" s="4">
        <v>0</v>
      </c>
      <c r="I23" s="4">
        <v>30</v>
      </c>
      <c r="J23" s="4">
        <v>0</v>
      </c>
      <c r="K23" s="4">
        <v>25</v>
      </c>
      <c r="L23" s="4">
        <v>0</v>
      </c>
      <c r="M23" s="4">
        <v>15</v>
      </c>
      <c r="N23" s="4"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6">
        <f t="shared" si="0"/>
        <v>188</v>
      </c>
      <c r="AB23" s="6">
        <f t="shared" si="1"/>
        <v>0</v>
      </c>
    </row>
    <row r="24" spans="1:28" ht="19.5" customHeight="1" x14ac:dyDescent="0.25">
      <c r="A24" s="2">
        <v>21</v>
      </c>
      <c r="B24" s="3" t="s">
        <v>39</v>
      </c>
      <c r="C24" s="4">
        <v>22</v>
      </c>
      <c r="D24" s="4">
        <v>0</v>
      </c>
      <c r="E24" s="4">
        <v>17</v>
      </c>
      <c r="F24" s="4">
        <v>0</v>
      </c>
      <c r="G24" s="5">
        <v>13</v>
      </c>
      <c r="H24" s="4">
        <v>0</v>
      </c>
      <c r="I24" s="4">
        <v>7</v>
      </c>
      <c r="J24" s="4">
        <v>0</v>
      </c>
      <c r="K24" s="4">
        <v>7</v>
      </c>
      <c r="L24" s="4">
        <v>0</v>
      </c>
      <c r="M24" s="4">
        <v>7</v>
      </c>
      <c r="N24" s="4"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6">
        <f t="shared" si="0"/>
        <v>73</v>
      </c>
      <c r="AB24" s="6">
        <f t="shared" si="1"/>
        <v>0</v>
      </c>
    </row>
    <row r="25" spans="1:28" ht="19.5" customHeight="1" x14ac:dyDescent="0.25">
      <c r="A25" s="2">
        <v>22</v>
      </c>
      <c r="B25" s="3" t="s">
        <v>40</v>
      </c>
      <c r="C25" s="4">
        <v>27</v>
      </c>
      <c r="D25" s="4">
        <v>0</v>
      </c>
      <c r="E25" s="4">
        <v>12</v>
      </c>
      <c r="F25" s="4">
        <v>0</v>
      </c>
      <c r="G25" s="5">
        <v>23</v>
      </c>
      <c r="H25" s="4">
        <v>0</v>
      </c>
      <c r="I25" s="4">
        <v>25</v>
      </c>
      <c r="J25" s="4">
        <v>0</v>
      </c>
      <c r="K25" s="4">
        <v>21</v>
      </c>
      <c r="L25" s="4">
        <v>0</v>
      </c>
      <c r="M25" s="4">
        <v>12</v>
      </c>
      <c r="N25" s="4"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6">
        <f t="shared" si="0"/>
        <v>120</v>
      </c>
      <c r="AB25" s="6">
        <f t="shared" si="1"/>
        <v>0</v>
      </c>
    </row>
    <row r="26" spans="1:28" ht="19.5" customHeight="1" x14ac:dyDescent="0.25">
      <c r="A26" s="2">
        <v>23</v>
      </c>
      <c r="B26" s="3" t="s">
        <v>41</v>
      </c>
      <c r="C26" s="4">
        <v>12</v>
      </c>
      <c r="D26" s="4">
        <v>0</v>
      </c>
      <c r="E26" s="4">
        <v>6</v>
      </c>
      <c r="F26" s="4">
        <v>0</v>
      </c>
      <c r="G26" s="5">
        <v>8</v>
      </c>
      <c r="H26" s="4">
        <v>0</v>
      </c>
      <c r="I26" s="4">
        <v>12</v>
      </c>
      <c r="J26" s="4">
        <v>0</v>
      </c>
      <c r="K26" s="4">
        <v>12</v>
      </c>
      <c r="L26" s="4">
        <v>0</v>
      </c>
      <c r="M26" s="4">
        <v>10</v>
      </c>
      <c r="N26" s="4"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6">
        <f t="shared" si="0"/>
        <v>60</v>
      </c>
      <c r="AB26" s="6">
        <f t="shared" si="1"/>
        <v>0</v>
      </c>
    </row>
    <row r="27" spans="1:28" ht="19.5" customHeight="1" x14ac:dyDescent="0.25">
      <c r="A27" s="2">
        <v>24</v>
      </c>
      <c r="B27" s="3" t="s">
        <v>42</v>
      </c>
      <c r="C27" s="4">
        <v>35</v>
      </c>
      <c r="D27" s="4">
        <v>0</v>
      </c>
      <c r="E27" s="4">
        <v>31</v>
      </c>
      <c r="F27" s="4">
        <v>0</v>
      </c>
      <c r="G27" s="5">
        <v>30</v>
      </c>
      <c r="H27" s="4">
        <v>0</v>
      </c>
      <c r="I27" s="4">
        <v>27</v>
      </c>
      <c r="J27" s="4">
        <v>0</v>
      </c>
      <c r="K27" s="4">
        <v>14</v>
      </c>
      <c r="L27" s="4">
        <v>0</v>
      </c>
      <c r="M27" s="4">
        <v>10</v>
      </c>
      <c r="N27" s="4"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6">
        <f t="shared" si="0"/>
        <v>147</v>
      </c>
      <c r="AB27" s="6">
        <f t="shared" si="1"/>
        <v>0</v>
      </c>
    </row>
    <row r="28" spans="1:28" ht="19.5" customHeight="1" x14ac:dyDescent="0.25">
      <c r="A28" s="2">
        <v>25</v>
      </c>
      <c r="B28" s="3" t="s">
        <v>43</v>
      </c>
      <c r="C28" s="4">
        <v>58</v>
      </c>
      <c r="D28" s="4">
        <v>0</v>
      </c>
      <c r="E28" s="4">
        <v>64</v>
      </c>
      <c r="F28" s="4">
        <v>0</v>
      </c>
      <c r="G28" s="5">
        <v>61</v>
      </c>
      <c r="H28" s="4">
        <v>0</v>
      </c>
      <c r="I28" s="4">
        <v>30</v>
      </c>
      <c r="J28" s="4">
        <v>0</v>
      </c>
      <c r="K28" s="4">
        <v>23</v>
      </c>
      <c r="L28" s="4">
        <v>0</v>
      </c>
      <c r="M28" s="4">
        <v>14</v>
      </c>
      <c r="N28" s="4"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6">
        <f t="shared" si="0"/>
        <v>250</v>
      </c>
      <c r="AB28" s="6">
        <f t="shared" si="1"/>
        <v>0</v>
      </c>
    </row>
    <row r="29" spans="1:28" ht="19.5" customHeight="1" x14ac:dyDescent="0.25">
      <c r="A29" s="2">
        <v>26</v>
      </c>
      <c r="B29" s="3" t="s">
        <v>44</v>
      </c>
      <c r="C29" s="4">
        <v>6</v>
      </c>
      <c r="D29" s="4">
        <v>0</v>
      </c>
      <c r="E29" s="4">
        <v>2</v>
      </c>
      <c r="F29" s="4">
        <v>0</v>
      </c>
      <c r="G29" s="5">
        <v>9</v>
      </c>
      <c r="H29" s="4">
        <v>0</v>
      </c>
      <c r="I29" s="4">
        <v>11</v>
      </c>
      <c r="J29" s="4">
        <v>0</v>
      </c>
      <c r="K29" s="4">
        <v>8</v>
      </c>
      <c r="L29" s="4">
        <v>0</v>
      </c>
      <c r="M29" s="4">
        <v>14</v>
      </c>
      <c r="N29" s="4"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6">
        <f t="shared" si="0"/>
        <v>50</v>
      </c>
      <c r="AB29" s="6">
        <f t="shared" si="1"/>
        <v>0</v>
      </c>
    </row>
    <row r="30" spans="1:28" ht="19.5" customHeight="1" x14ac:dyDescent="0.25">
      <c r="A30" s="2">
        <v>27</v>
      </c>
      <c r="B30" s="3" t="s">
        <v>45</v>
      </c>
      <c r="C30" s="4">
        <v>27</v>
      </c>
      <c r="D30" s="4">
        <v>0</v>
      </c>
      <c r="E30" s="4">
        <v>19</v>
      </c>
      <c r="F30" s="4">
        <v>0</v>
      </c>
      <c r="G30" s="5">
        <v>23</v>
      </c>
      <c r="H30" s="4">
        <v>0</v>
      </c>
      <c r="I30" s="4">
        <v>15</v>
      </c>
      <c r="J30" s="4">
        <v>0</v>
      </c>
      <c r="K30" s="4">
        <v>18</v>
      </c>
      <c r="L30" s="4">
        <v>0</v>
      </c>
      <c r="M30" s="4">
        <v>15</v>
      </c>
      <c r="N30" s="4"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6">
        <f t="shared" si="0"/>
        <v>117</v>
      </c>
      <c r="AB30" s="6">
        <f t="shared" si="1"/>
        <v>0</v>
      </c>
    </row>
    <row r="31" spans="1:28" ht="19.5" customHeight="1" x14ac:dyDescent="0.25">
      <c r="A31" s="2">
        <v>28</v>
      </c>
      <c r="B31" s="3" t="s">
        <v>46</v>
      </c>
      <c r="C31" s="4">
        <v>84</v>
      </c>
      <c r="D31" s="4">
        <v>0</v>
      </c>
      <c r="E31" s="4">
        <v>50</v>
      </c>
      <c r="F31" s="4">
        <v>0</v>
      </c>
      <c r="G31" s="5">
        <v>49</v>
      </c>
      <c r="H31" s="4">
        <v>1</v>
      </c>
      <c r="I31" s="4">
        <v>36</v>
      </c>
      <c r="J31" s="4">
        <v>0</v>
      </c>
      <c r="K31" s="4">
        <v>46</v>
      </c>
      <c r="L31" s="4">
        <v>0</v>
      </c>
      <c r="M31" s="4">
        <v>20</v>
      </c>
      <c r="N31" s="4"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6">
        <f t="shared" si="0"/>
        <v>285</v>
      </c>
      <c r="AB31" s="6">
        <f t="shared" si="1"/>
        <v>1</v>
      </c>
    </row>
    <row r="32" spans="1:28" ht="19.5" customHeight="1" x14ac:dyDescent="0.25">
      <c r="A32" s="2">
        <v>29</v>
      </c>
      <c r="B32" s="3" t="s">
        <v>47</v>
      </c>
      <c r="C32" s="4">
        <v>16</v>
      </c>
      <c r="D32" s="4">
        <v>0</v>
      </c>
      <c r="E32" s="4">
        <v>18</v>
      </c>
      <c r="F32" s="4">
        <v>0</v>
      </c>
      <c r="G32" s="5">
        <v>26</v>
      </c>
      <c r="H32" s="4">
        <v>0</v>
      </c>
      <c r="I32" s="4">
        <v>14</v>
      </c>
      <c r="J32" s="4">
        <v>0</v>
      </c>
      <c r="K32" s="4">
        <v>17</v>
      </c>
      <c r="L32" s="4">
        <v>0</v>
      </c>
      <c r="M32" s="4">
        <v>12</v>
      </c>
      <c r="N32" s="4"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6">
        <f t="shared" si="0"/>
        <v>103</v>
      </c>
      <c r="AB32" s="6">
        <f t="shared" si="1"/>
        <v>0</v>
      </c>
    </row>
    <row r="33" spans="1:28" ht="19.5" customHeight="1" x14ac:dyDescent="0.25">
      <c r="A33" s="2">
        <v>30</v>
      </c>
      <c r="B33" s="3" t="s">
        <v>48</v>
      </c>
      <c r="C33" s="4">
        <v>30</v>
      </c>
      <c r="D33" s="4">
        <v>0</v>
      </c>
      <c r="E33" s="4">
        <v>28</v>
      </c>
      <c r="F33" s="4">
        <v>0</v>
      </c>
      <c r="G33" s="5">
        <v>27</v>
      </c>
      <c r="H33" s="4">
        <v>0</v>
      </c>
      <c r="I33" s="4">
        <v>75</v>
      </c>
      <c r="J33" s="4">
        <v>0</v>
      </c>
      <c r="K33" s="4">
        <v>40</v>
      </c>
      <c r="L33" s="4">
        <v>0</v>
      </c>
      <c r="M33" s="4">
        <v>52</v>
      </c>
      <c r="N33" s="4">
        <v>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6">
        <f t="shared" si="0"/>
        <v>252</v>
      </c>
      <c r="AB33" s="6">
        <f t="shared" si="1"/>
        <v>0</v>
      </c>
    </row>
    <row r="34" spans="1:28" ht="19.5" customHeight="1" x14ac:dyDescent="0.25">
      <c r="A34" s="2">
        <v>31</v>
      </c>
      <c r="B34" s="3" t="s">
        <v>49</v>
      </c>
      <c r="C34" s="4">
        <v>21</v>
      </c>
      <c r="D34" s="4">
        <v>0</v>
      </c>
      <c r="E34" s="4">
        <v>21</v>
      </c>
      <c r="F34" s="4">
        <v>0</v>
      </c>
      <c r="G34" s="5">
        <v>14</v>
      </c>
      <c r="H34" s="4">
        <v>0</v>
      </c>
      <c r="I34" s="4">
        <v>18</v>
      </c>
      <c r="J34" s="4">
        <v>0</v>
      </c>
      <c r="K34" s="4">
        <v>8</v>
      </c>
      <c r="L34" s="4">
        <v>0</v>
      </c>
      <c r="M34" s="4">
        <v>4</v>
      </c>
      <c r="N34" s="4"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6">
        <f t="shared" si="0"/>
        <v>86</v>
      </c>
      <c r="AB34" s="6">
        <f t="shared" si="1"/>
        <v>0</v>
      </c>
    </row>
    <row r="35" spans="1:28" ht="19.5" customHeight="1" x14ac:dyDescent="0.25">
      <c r="A35" s="2">
        <v>32</v>
      </c>
      <c r="B35" s="3" t="s">
        <v>50</v>
      </c>
      <c r="C35" s="4">
        <v>9</v>
      </c>
      <c r="D35" s="4">
        <v>0</v>
      </c>
      <c r="E35" s="4">
        <v>0</v>
      </c>
      <c r="F35" s="4">
        <v>0</v>
      </c>
      <c r="G35" s="5">
        <v>9</v>
      </c>
      <c r="H35" s="4">
        <v>0</v>
      </c>
      <c r="I35" s="4">
        <v>5</v>
      </c>
      <c r="J35" s="4">
        <v>0</v>
      </c>
      <c r="K35" s="4">
        <v>6</v>
      </c>
      <c r="L35" s="4">
        <v>0</v>
      </c>
      <c r="M35" s="4">
        <v>5</v>
      </c>
      <c r="N35" s="4">
        <v>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6">
        <f t="shared" si="0"/>
        <v>34</v>
      </c>
      <c r="AB35" s="6">
        <f t="shared" si="1"/>
        <v>0</v>
      </c>
    </row>
    <row r="36" spans="1:28" ht="19.5" customHeight="1" x14ac:dyDescent="0.25">
      <c r="A36" s="2">
        <v>33</v>
      </c>
      <c r="B36" s="3" t="s">
        <v>51</v>
      </c>
      <c r="C36" s="4">
        <v>39</v>
      </c>
      <c r="D36" s="4">
        <v>0</v>
      </c>
      <c r="E36" s="4">
        <v>42</v>
      </c>
      <c r="F36" s="4">
        <v>0</v>
      </c>
      <c r="G36" s="5">
        <v>36</v>
      </c>
      <c r="H36" s="4">
        <v>0</v>
      </c>
      <c r="I36" s="4">
        <v>45</v>
      </c>
      <c r="J36" s="4">
        <v>0</v>
      </c>
      <c r="K36" s="4">
        <v>23</v>
      </c>
      <c r="L36" s="4">
        <v>0</v>
      </c>
      <c r="M36" s="4">
        <v>21</v>
      </c>
      <c r="N36" s="4">
        <v>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6">
        <f t="shared" si="0"/>
        <v>206</v>
      </c>
      <c r="AB36" s="6">
        <f t="shared" si="1"/>
        <v>0</v>
      </c>
    </row>
    <row r="37" spans="1:28" ht="19.5" customHeight="1" x14ac:dyDescent="0.25">
      <c r="A37" s="2">
        <v>34</v>
      </c>
      <c r="B37" s="3" t="s">
        <v>52</v>
      </c>
      <c r="C37" s="4">
        <v>51</v>
      </c>
      <c r="D37" s="4">
        <v>0</v>
      </c>
      <c r="E37" s="4">
        <v>38</v>
      </c>
      <c r="F37" s="4">
        <v>0</v>
      </c>
      <c r="G37" s="5">
        <v>25</v>
      </c>
      <c r="H37" s="4">
        <v>0</v>
      </c>
      <c r="I37" s="4">
        <v>37</v>
      </c>
      <c r="J37" s="4">
        <v>0</v>
      </c>
      <c r="K37" s="4">
        <v>31</v>
      </c>
      <c r="L37" s="4">
        <v>0</v>
      </c>
      <c r="M37" s="4">
        <v>14</v>
      </c>
      <c r="N37" s="4"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6">
        <f t="shared" si="0"/>
        <v>196</v>
      </c>
      <c r="AB37" s="6">
        <f t="shared" si="1"/>
        <v>0</v>
      </c>
    </row>
    <row r="38" spans="1:28" ht="19.5" customHeight="1" x14ac:dyDescent="0.25">
      <c r="A38" s="2">
        <v>35</v>
      </c>
      <c r="B38" s="3" t="s">
        <v>53</v>
      </c>
      <c r="C38" s="4">
        <v>21</v>
      </c>
      <c r="D38" s="4">
        <v>0</v>
      </c>
      <c r="E38" s="4">
        <v>17</v>
      </c>
      <c r="F38" s="4">
        <v>0</v>
      </c>
      <c r="G38" s="5">
        <v>11</v>
      </c>
      <c r="H38" s="4">
        <v>0</v>
      </c>
      <c r="I38" s="4">
        <v>18</v>
      </c>
      <c r="J38" s="4">
        <v>0</v>
      </c>
      <c r="K38" s="4">
        <v>9</v>
      </c>
      <c r="L38" s="4">
        <v>0</v>
      </c>
      <c r="M38" s="4">
        <v>9</v>
      </c>
      <c r="N38" s="4">
        <v>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6">
        <f t="shared" si="0"/>
        <v>85</v>
      </c>
      <c r="AB38" s="6">
        <f t="shared" si="1"/>
        <v>0</v>
      </c>
    </row>
    <row r="39" spans="1:28" ht="19.5" customHeight="1" x14ac:dyDescent="0.25">
      <c r="A39" s="2">
        <v>36</v>
      </c>
      <c r="B39" s="3" t="s">
        <v>54</v>
      </c>
      <c r="C39" s="4">
        <v>21</v>
      </c>
      <c r="D39" s="4">
        <v>0</v>
      </c>
      <c r="E39" s="4">
        <v>18</v>
      </c>
      <c r="F39" s="4">
        <v>0</v>
      </c>
      <c r="G39" s="5">
        <v>12</v>
      </c>
      <c r="H39" s="4">
        <v>0</v>
      </c>
      <c r="I39" s="4">
        <v>14</v>
      </c>
      <c r="J39" s="4">
        <v>0</v>
      </c>
      <c r="K39" s="4">
        <v>14</v>
      </c>
      <c r="L39" s="4">
        <v>0</v>
      </c>
      <c r="M39" s="4">
        <v>6</v>
      </c>
      <c r="N39" s="4">
        <v>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6">
        <f t="shared" si="0"/>
        <v>85</v>
      </c>
      <c r="AB39" s="6">
        <f t="shared" si="1"/>
        <v>0</v>
      </c>
    </row>
    <row r="40" spans="1:28" ht="19.5" customHeight="1" x14ac:dyDescent="0.25">
      <c r="A40" s="2">
        <v>37</v>
      </c>
      <c r="B40" s="3" t="s">
        <v>55</v>
      </c>
      <c r="C40" s="4">
        <v>53</v>
      </c>
      <c r="D40" s="4">
        <v>0</v>
      </c>
      <c r="E40" s="4">
        <v>34</v>
      </c>
      <c r="F40" s="4">
        <v>0</v>
      </c>
      <c r="G40" s="5">
        <v>28</v>
      </c>
      <c r="H40" s="4">
        <v>0</v>
      </c>
      <c r="I40" s="4">
        <v>38</v>
      </c>
      <c r="J40" s="4">
        <v>0</v>
      </c>
      <c r="K40" s="4">
        <v>29</v>
      </c>
      <c r="L40" s="4">
        <v>0</v>
      </c>
      <c r="M40" s="4">
        <v>30</v>
      </c>
      <c r="N40" s="4"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6">
        <f t="shared" si="0"/>
        <v>212</v>
      </c>
      <c r="AB40" s="6">
        <f t="shared" si="1"/>
        <v>0</v>
      </c>
    </row>
    <row r="41" spans="1:28" ht="19.5" customHeight="1" x14ac:dyDescent="0.25">
      <c r="A41" s="2">
        <v>38</v>
      </c>
      <c r="B41" s="3" t="s">
        <v>56</v>
      </c>
      <c r="C41" s="4">
        <v>13</v>
      </c>
      <c r="D41" s="4">
        <v>0</v>
      </c>
      <c r="E41" s="4">
        <v>14</v>
      </c>
      <c r="F41" s="4">
        <v>0</v>
      </c>
      <c r="G41" s="4">
        <v>20</v>
      </c>
      <c r="H41" s="4">
        <v>0</v>
      </c>
      <c r="I41" s="4">
        <v>14</v>
      </c>
      <c r="J41" s="4">
        <v>0</v>
      </c>
      <c r="K41" s="4">
        <v>13</v>
      </c>
      <c r="L41" s="4">
        <v>0</v>
      </c>
      <c r="M41" s="4">
        <v>7</v>
      </c>
      <c r="N41" s="4">
        <v>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6">
        <f t="shared" si="0"/>
        <v>81</v>
      </c>
      <c r="AB41" s="6">
        <f t="shared" si="1"/>
        <v>0</v>
      </c>
    </row>
    <row r="42" spans="1:28" s="10" customFormat="1" ht="19.5" customHeight="1" x14ac:dyDescent="0.25">
      <c r="A42" s="7"/>
      <c r="B42" s="3" t="s">
        <v>16</v>
      </c>
      <c r="C42" s="8">
        <f>SUM(C4:C41)</f>
        <v>1722</v>
      </c>
      <c r="D42" s="8">
        <f t="shared" ref="D42:L42" si="2">SUM(D4:D41)</f>
        <v>0</v>
      </c>
      <c r="E42" s="8">
        <f t="shared" si="2"/>
        <v>1322</v>
      </c>
      <c r="F42" s="8">
        <f t="shared" si="2"/>
        <v>1</v>
      </c>
      <c r="G42" s="8">
        <f t="shared" si="2"/>
        <v>1228</v>
      </c>
      <c r="H42" s="8">
        <f t="shared" si="2"/>
        <v>1</v>
      </c>
      <c r="I42" s="8">
        <f t="shared" si="2"/>
        <v>1201</v>
      </c>
      <c r="J42" s="8">
        <f t="shared" si="2"/>
        <v>0</v>
      </c>
      <c r="K42" s="8">
        <f t="shared" si="2"/>
        <v>1063</v>
      </c>
      <c r="L42" s="8">
        <f t="shared" si="2"/>
        <v>0</v>
      </c>
      <c r="M42" s="8">
        <f>SUM(M4:M41)</f>
        <v>838</v>
      </c>
      <c r="N42" s="4">
        <f>SUM(N4:N41)</f>
        <v>0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6">
        <f t="shared" si="0"/>
        <v>7374</v>
      </c>
      <c r="AB42" s="6">
        <f t="shared" si="1"/>
        <v>2</v>
      </c>
    </row>
    <row r="43" spans="1:28" s="10" customFormat="1" ht="21" customHeight="1" x14ac:dyDescent="0.25">
      <c r="A43" s="11"/>
      <c r="B43" s="12" t="s">
        <v>17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30"/>
      <c r="AA43" s="30"/>
      <c r="AB43" s="31"/>
    </row>
  </sheetData>
  <mergeCells count="17">
    <mergeCell ref="Z43:AB43"/>
    <mergeCell ref="AA2:AB2"/>
    <mergeCell ref="A1:AB1"/>
    <mergeCell ref="A2:A3"/>
    <mergeCell ref="B2:B3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printOptions horizontalCentered="1" verticalCentered="1"/>
  <pageMargins left="0" right="0" top="0" bottom="0" header="0" footer="0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opLeftCell="F22" workbookViewId="0">
      <selection activeCell="S2" sqref="S2:S39"/>
    </sheetView>
  </sheetViews>
  <sheetFormatPr defaultRowHeight="15" x14ac:dyDescent="0.25"/>
  <sheetData>
    <row r="1" spans="1:19" x14ac:dyDescent="0.25">
      <c r="R1">
        <v>19</v>
      </c>
    </row>
    <row r="2" spans="1:19" x14ac:dyDescent="0.25">
      <c r="A2">
        <v>0</v>
      </c>
      <c r="B2">
        <v>1</v>
      </c>
      <c r="C2">
        <v>2</v>
      </c>
      <c r="D2">
        <v>1</v>
      </c>
      <c r="E2">
        <v>0</v>
      </c>
      <c r="F2">
        <v>1</v>
      </c>
      <c r="G2">
        <v>1</v>
      </c>
      <c r="H2">
        <v>1</v>
      </c>
      <c r="I2">
        <v>0</v>
      </c>
      <c r="J2">
        <v>1</v>
      </c>
      <c r="K2">
        <v>2</v>
      </c>
      <c r="L2">
        <v>0</v>
      </c>
      <c r="M2">
        <v>2</v>
      </c>
      <c r="N2">
        <v>0</v>
      </c>
      <c r="O2">
        <v>1</v>
      </c>
      <c r="P2">
        <v>1</v>
      </c>
      <c r="Q2">
        <v>1</v>
      </c>
      <c r="R2">
        <v>1</v>
      </c>
      <c r="S2">
        <f>SUM(A2:R2)</f>
        <v>16</v>
      </c>
    </row>
    <row r="3" spans="1:19" x14ac:dyDescent="0.25">
      <c r="A3">
        <v>1</v>
      </c>
      <c r="B3">
        <v>0</v>
      </c>
      <c r="C3">
        <v>0</v>
      </c>
      <c r="D3">
        <v>2</v>
      </c>
      <c r="E3">
        <v>0</v>
      </c>
      <c r="F3">
        <v>2</v>
      </c>
      <c r="G3">
        <v>1</v>
      </c>
      <c r="H3">
        <v>0</v>
      </c>
      <c r="I3">
        <v>3</v>
      </c>
      <c r="J3">
        <v>3</v>
      </c>
      <c r="K3">
        <v>1</v>
      </c>
      <c r="L3">
        <v>0</v>
      </c>
      <c r="M3">
        <v>0</v>
      </c>
      <c r="N3">
        <v>0</v>
      </c>
      <c r="O3">
        <v>3</v>
      </c>
      <c r="P3">
        <v>2</v>
      </c>
      <c r="Q3">
        <v>1</v>
      </c>
      <c r="R3">
        <v>0</v>
      </c>
      <c r="S3">
        <f t="shared" ref="S3:S39" si="0">SUM(A3:R3)</f>
        <v>19</v>
      </c>
    </row>
    <row r="4" spans="1:19" x14ac:dyDescent="0.25">
      <c r="A4">
        <v>10</v>
      </c>
      <c r="B4">
        <v>8</v>
      </c>
      <c r="C4">
        <v>12</v>
      </c>
      <c r="D4">
        <v>3</v>
      </c>
      <c r="E4">
        <v>8</v>
      </c>
      <c r="F4">
        <v>8</v>
      </c>
      <c r="G4">
        <v>1</v>
      </c>
      <c r="H4">
        <v>9</v>
      </c>
      <c r="I4">
        <v>4</v>
      </c>
      <c r="J4">
        <v>9</v>
      </c>
      <c r="K4">
        <v>6</v>
      </c>
      <c r="L4">
        <v>5</v>
      </c>
      <c r="M4">
        <v>9</v>
      </c>
      <c r="N4">
        <v>2</v>
      </c>
      <c r="O4">
        <v>10</v>
      </c>
      <c r="P4">
        <v>6</v>
      </c>
      <c r="Q4">
        <v>12</v>
      </c>
      <c r="R4">
        <v>8</v>
      </c>
      <c r="S4">
        <f t="shared" si="0"/>
        <v>130</v>
      </c>
    </row>
    <row r="5" spans="1:19" x14ac:dyDescent="0.25">
      <c r="A5">
        <v>8</v>
      </c>
      <c r="B5">
        <v>7</v>
      </c>
      <c r="C5">
        <v>6</v>
      </c>
      <c r="D5">
        <v>9</v>
      </c>
      <c r="E5">
        <v>2</v>
      </c>
      <c r="F5">
        <v>7</v>
      </c>
      <c r="G5">
        <v>2</v>
      </c>
      <c r="H5">
        <v>1</v>
      </c>
      <c r="I5">
        <v>6</v>
      </c>
      <c r="J5">
        <v>7</v>
      </c>
      <c r="K5">
        <v>7</v>
      </c>
      <c r="L5">
        <v>7</v>
      </c>
      <c r="M5">
        <v>11</v>
      </c>
      <c r="N5">
        <v>8</v>
      </c>
      <c r="O5">
        <v>3</v>
      </c>
      <c r="P5">
        <v>8</v>
      </c>
      <c r="Q5">
        <v>5</v>
      </c>
      <c r="R5">
        <v>8</v>
      </c>
      <c r="S5">
        <f t="shared" si="0"/>
        <v>112</v>
      </c>
    </row>
    <row r="6" spans="1:19" x14ac:dyDescent="0.25">
      <c r="A6">
        <v>3</v>
      </c>
      <c r="B6">
        <v>5</v>
      </c>
      <c r="C6">
        <v>3</v>
      </c>
      <c r="D6">
        <v>6</v>
      </c>
      <c r="E6">
        <v>0</v>
      </c>
      <c r="F6">
        <v>1</v>
      </c>
      <c r="G6">
        <v>1</v>
      </c>
      <c r="H6">
        <v>4</v>
      </c>
      <c r="I6">
        <v>11</v>
      </c>
      <c r="J6">
        <v>3</v>
      </c>
      <c r="K6">
        <v>7</v>
      </c>
      <c r="L6">
        <v>3</v>
      </c>
      <c r="M6">
        <v>2</v>
      </c>
      <c r="N6">
        <v>0</v>
      </c>
      <c r="O6">
        <v>5</v>
      </c>
      <c r="P6">
        <v>4</v>
      </c>
      <c r="Q6">
        <v>3</v>
      </c>
      <c r="R6">
        <v>11</v>
      </c>
      <c r="S6">
        <f t="shared" si="0"/>
        <v>72</v>
      </c>
    </row>
    <row r="7" spans="1:19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f t="shared" si="0"/>
        <v>0</v>
      </c>
    </row>
    <row r="8" spans="1:19" x14ac:dyDescent="0.25">
      <c r="A8">
        <v>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3</v>
      </c>
      <c r="Q8">
        <v>1</v>
      </c>
      <c r="R8">
        <v>3</v>
      </c>
      <c r="S8">
        <f t="shared" si="0"/>
        <v>10</v>
      </c>
    </row>
    <row r="9" spans="1:19" x14ac:dyDescent="0.25">
      <c r="A9">
        <v>0</v>
      </c>
      <c r="B9">
        <v>0</v>
      </c>
      <c r="C9">
        <v>0</v>
      </c>
      <c r="D9">
        <v>3</v>
      </c>
      <c r="E9">
        <v>0</v>
      </c>
      <c r="F9">
        <v>3</v>
      </c>
      <c r="G9">
        <v>0</v>
      </c>
      <c r="H9">
        <v>2</v>
      </c>
      <c r="I9">
        <v>1</v>
      </c>
      <c r="J9">
        <v>2</v>
      </c>
      <c r="K9">
        <v>2</v>
      </c>
      <c r="L9">
        <v>0</v>
      </c>
      <c r="M9">
        <v>2</v>
      </c>
      <c r="N9">
        <v>2</v>
      </c>
      <c r="O9">
        <v>2</v>
      </c>
      <c r="P9">
        <v>0</v>
      </c>
      <c r="Q9">
        <v>0</v>
      </c>
      <c r="R9">
        <v>4</v>
      </c>
      <c r="S9">
        <f t="shared" si="0"/>
        <v>23</v>
      </c>
    </row>
    <row r="10" spans="1:19" x14ac:dyDescent="0.2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f t="shared" si="0"/>
        <v>2</v>
      </c>
    </row>
    <row r="11" spans="1:19" x14ac:dyDescent="0.25">
      <c r="A11">
        <v>2</v>
      </c>
      <c r="B11">
        <v>0</v>
      </c>
      <c r="C11">
        <v>3</v>
      </c>
      <c r="D11">
        <v>0</v>
      </c>
      <c r="E11">
        <v>4</v>
      </c>
      <c r="F11">
        <v>1</v>
      </c>
      <c r="G11">
        <v>2</v>
      </c>
      <c r="H11">
        <v>2</v>
      </c>
      <c r="I11">
        <v>1</v>
      </c>
      <c r="J11">
        <v>2</v>
      </c>
      <c r="K11">
        <v>1</v>
      </c>
      <c r="L11">
        <v>4</v>
      </c>
      <c r="M11">
        <v>1</v>
      </c>
      <c r="N11">
        <v>0</v>
      </c>
      <c r="O11">
        <v>3</v>
      </c>
      <c r="P11">
        <v>1</v>
      </c>
      <c r="Q11">
        <v>2</v>
      </c>
      <c r="R11">
        <v>0</v>
      </c>
      <c r="S11">
        <f t="shared" si="0"/>
        <v>29</v>
      </c>
    </row>
    <row r="12" spans="1:19" x14ac:dyDescent="0.25">
      <c r="A12">
        <v>4</v>
      </c>
      <c r="B12">
        <v>4</v>
      </c>
      <c r="C12">
        <v>4</v>
      </c>
      <c r="D12">
        <v>4</v>
      </c>
      <c r="E12">
        <v>1</v>
      </c>
      <c r="F12">
        <v>1</v>
      </c>
      <c r="G12">
        <v>0</v>
      </c>
      <c r="H12">
        <v>3</v>
      </c>
      <c r="I12">
        <v>2</v>
      </c>
      <c r="J12">
        <v>3</v>
      </c>
      <c r="K12">
        <v>2</v>
      </c>
      <c r="L12">
        <v>6</v>
      </c>
      <c r="M12">
        <v>3</v>
      </c>
      <c r="N12">
        <v>1</v>
      </c>
      <c r="O12">
        <v>5</v>
      </c>
      <c r="P12">
        <v>2</v>
      </c>
      <c r="Q12">
        <v>7</v>
      </c>
      <c r="R12">
        <v>3</v>
      </c>
      <c r="S12">
        <f t="shared" si="0"/>
        <v>55</v>
      </c>
    </row>
    <row r="13" spans="1:19" x14ac:dyDescent="0.25">
      <c r="A13">
        <v>2</v>
      </c>
      <c r="B13">
        <v>0</v>
      </c>
      <c r="C13">
        <v>0</v>
      </c>
      <c r="D13">
        <v>1</v>
      </c>
      <c r="E13">
        <v>0</v>
      </c>
      <c r="F13">
        <v>1</v>
      </c>
      <c r="G13">
        <v>0</v>
      </c>
      <c r="H13">
        <v>4</v>
      </c>
      <c r="I13">
        <v>1</v>
      </c>
      <c r="J13">
        <v>3</v>
      </c>
      <c r="K13">
        <v>0</v>
      </c>
      <c r="L13">
        <v>0</v>
      </c>
      <c r="M13">
        <v>0</v>
      </c>
      <c r="N13">
        <v>0</v>
      </c>
      <c r="O13">
        <v>2</v>
      </c>
      <c r="P13">
        <v>0</v>
      </c>
      <c r="Q13">
        <v>1</v>
      </c>
      <c r="R13">
        <v>1</v>
      </c>
      <c r="S13">
        <f t="shared" si="0"/>
        <v>16</v>
      </c>
    </row>
    <row r="14" spans="1:19" x14ac:dyDescent="0.25">
      <c r="A14">
        <v>0</v>
      </c>
      <c r="B14">
        <v>0</v>
      </c>
      <c r="C14">
        <v>1</v>
      </c>
      <c r="D14">
        <v>2</v>
      </c>
      <c r="E14">
        <v>2</v>
      </c>
      <c r="F14">
        <v>0</v>
      </c>
      <c r="G14">
        <v>0</v>
      </c>
      <c r="H14">
        <v>1</v>
      </c>
      <c r="I14">
        <v>0</v>
      </c>
      <c r="J14">
        <v>2</v>
      </c>
      <c r="K14">
        <v>2</v>
      </c>
      <c r="L14">
        <v>2</v>
      </c>
      <c r="M14">
        <v>1</v>
      </c>
      <c r="N14">
        <v>0</v>
      </c>
      <c r="O14">
        <v>1</v>
      </c>
      <c r="P14">
        <v>0</v>
      </c>
      <c r="Q14">
        <v>1</v>
      </c>
      <c r="R14">
        <v>2</v>
      </c>
      <c r="S14">
        <f t="shared" si="0"/>
        <v>17</v>
      </c>
    </row>
    <row r="15" spans="1:19" x14ac:dyDescent="0.25">
      <c r="A15">
        <v>0</v>
      </c>
      <c r="B15">
        <v>0</v>
      </c>
      <c r="C15">
        <v>1</v>
      </c>
      <c r="D15">
        <v>2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>
        <f t="shared" si="0"/>
        <v>11</v>
      </c>
    </row>
    <row r="16" spans="1:19" x14ac:dyDescent="0.25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2</v>
      </c>
      <c r="S16">
        <f t="shared" si="0"/>
        <v>8</v>
      </c>
    </row>
    <row r="17" spans="1:19" x14ac:dyDescent="0.25">
      <c r="A17">
        <v>0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f t="shared" si="0"/>
        <v>3</v>
      </c>
    </row>
    <row r="18" spans="1:19" x14ac:dyDescent="0.25">
      <c r="A18">
        <v>0</v>
      </c>
      <c r="B18">
        <v>0</v>
      </c>
      <c r="C18">
        <v>0</v>
      </c>
      <c r="D18">
        <v>3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f t="shared" si="0"/>
        <v>7</v>
      </c>
    </row>
    <row r="19" spans="1:19" x14ac:dyDescent="0.25">
      <c r="A19">
        <v>0</v>
      </c>
      <c r="B19">
        <v>0</v>
      </c>
      <c r="C19">
        <v>1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f t="shared" si="0"/>
        <v>5</v>
      </c>
    </row>
    <row r="20" spans="1:19" x14ac:dyDescent="0.25">
      <c r="A20">
        <v>0</v>
      </c>
      <c r="B20">
        <v>1</v>
      </c>
      <c r="C20">
        <v>4</v>
      </c>
      <c r="D20">
        <v>1</v>
      </c>
      <c r="E20">
        <v>2</v>
      </c>
      <c r="F20">
        <v>0</v>
      </c>
      <c r="G20">
        <v>1</v>
      </c>
      <c r="H20">
        <v>1</v>
      </c>
      <c r="I20">
        <v>0</v>
      </c>
      <c r="J20">
        <v>2</v>
      </c>
      <c r="K20">
        <v>3</v>
      </c>
      <c r="L20">
        <v>4</v>
      </c>
      <c r="M20">
        <v>1</v>
      </c>
      <c r="N20">
        <v>1</v>
      </c>
      <c r="O20">
        <v>3</v>
      </c>
      <c r="P20">
        <v>3</v>
      </c>
      <c r="Q20">
        <v>0</v>
      </c>
      <c r="R20">
        <v>0</v>
      </c>
      <c r="S20">
        <f t="shared" si="0"/>
        <v>27</v>
      </c>
    </row>
    <row r="21" spans="1:19" x14ac:dyDescent="0.25">
      <c r="A21">
        <v>0</v>
      </c>
      <c r="B21">
        <v>0</v>
      </c>
      <c r="C21">
        <v>0</v>
      </c>
      <c r="D21">
        <v>0</v>
      </c>
      <c r="E21">
        <v>1</v>
      </c>
      <c r="F21">
        <v>2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0</v>
      </c>
      <c r="O21">
        <v>3</v>
      </c>
      <c r="P21">
        <v>2</v>
      </c>
      <c r="Q21">
        <v>1</v>
      </c>
      <c r="R21">
        <v>3</v>
      </c>
      <c r="S21">
        <f t="shared" si="0"/>
        <v>15</v>
      </c>
    </row>
    <row r="22" spans="1:19" x14ac:dyDescent="0.25">
      <c r="A22">
        <v>0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2</v>
      </c>
      <c r="Q22">
        <v>1</v>
      </c>
      <c r="R22">
        <v>1</v>
      </c>
      <c r="S22">
        <f t="shared" si="0"/>
        <v>7</v>
      </c>
    </row>
    <row r="23" spans="1:19" x14ac:dyDescent="0.25">
      <c r="A23">
        <v>0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3</v>
      </c>
      <c r="P23">
        <v>1</v>
      </c>
      <c r="Q23">
        <v>2</v>
      </c>
      <c r="R23">
        <v>1</v>
      </c>
      <c r="S23">
        <f t="shared" si="0"/>
        <v>11</v>
      </c>
    </row>
    <row r="24" spans="1:19" x14ac:dyDescent="0.25">
      <c r="A24">
        <v>0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2</v>
      </c>
      <c r="K24">
        <v>1</v>
      </c>
      <c r="L24">
        <v>0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f t="shared" si="0"/>
        <v>9</v>
      </c>
    </row>
    <row r="25" spans="1:19" x14ac:dyDescent="0.25">
      <c r="A25">
        <v>0</v>
      </c>
      <c r="B25">
        <v>2</v>
      </c>
      <c r="C25">
        <v>2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2</v>
      </c>
      <c r="N25">
        <v>0</v>
      </c>
      <c r="O25">
        <v>0</v>
      </c>
      <c r="P25">
        <v>1</v>
      </c>
      <c r="Q25">
        <v>0</v>
      </c>
      <c r="R25">
        <v>0</v>
      </c>
      <c r="S25">
        <f t="shared" si="0"/>
        <v>9</v>
      </c>
    </row>
    <row r="26" spans="1:19" x14ac:dyDescent="0.25">
      <c r="A26">
        <v>1</v>
      </c>
      <c r="B26">
        <v>3</v>
      </c>
      <c r="C26">
        <v>2</v>
      </c>
      <c r="D26">
        <v>1</v>
      </c>
      <c r="E26">
        <v>0</v>
      </c>
      <c r="F26">
        <v>2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f t="shared" si="0"/>
        <v>12</v>
      </c>
    </row>
    <row r="27" spans="1:19" x14ac:dyDescent="0.25">
      <c r="A27">
        <v>0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3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4</v>
      </c>
      <c r="P27">
        <v>0</v>
      </c>
      <c r="Q27">
        <v>2</v>
      </c>
      <c r="R27">
        <v>2</v>
      </c>
      <c r="S27">
        <f t="shared" si="0"/>
        <v>14</v>
      </c>
    </row>
    <row r="28" spans="1:19" x14ac:dyDescent="0.25">
      <c r="A28">
        <v>0</v>
      </c>
      <c r="B28">
        <v>0</v>
      </c>
      <c r="C28">
        <v>0</v>
      </c>
      <c r="D28">
        <v>0</v>
      </c>
      <c r="E28">
        <v>1</v>
      </c>
      <c r="F28">
        <v>1</v>
      </c>
      <c r="G28">
        <v>2</v>
      </c>
      <c r="H28">
        <v>0</v>
      </c>
      <c r="I28">
        <v>1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3</v>
      </c>
      <c r="Q28">
        <v>1</v>
      </c>
      <c r="R28">
        <v>4</v>
      </c>
      <c r="S28">
        <f t="shared" si="0"/>
        <v>15</v>
      </c>
    </row>
    <row r="29" spans="1:19" x14ac:dyDescent="0.25">
      <c r="A29">
        <v>0</v>
      </c>
      <c r="B29">
        <v>0</v>
      </c>
      <c r="C29">
        <v>2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2</v>
      </c>
      <c r="L29">
        <v>1</v>
      </c>
      <c r="M29">
        <v>2</v>
      </c>
      <c r="N29">
        <v>0</v>
      </c>
      <c r="O29">
        <v>2</v>
      </c>
      <c r="P29">
        <v>4</v>
      </c>
      <c r="Q29">
        <v>0</v>
      </c>
      <c r="R29">
        <v>2</v>
      </c>
      <c r="S29">
        <f t="shared" si="0"/>
        <v>20</v>
      </c>
    </row>
    <row r="30" spans="1:19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2</v>
      </c>
      <c r="G30">
        <v>0</v>
      </c>
      <c r="H30">
        <v>2</v>
      </c>
      <c r="I30">
        <v>0</v>
      </c>
      <c r="J30">
        <v>3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f t="shared" si="0"/>
        <v>10</v>
      </c>
    </row>
    <row r="31" spans="1:19" x14ac:dyDescent="0.25">
      <c r="A31">
        <v>9</v>
      </c>
      <c r="B31">
        <v>2</v>
      </c>
      <c r="C31">
        <v>2</v>
      </c>
      <c r="D31">
        <v>2</v>
      </c>
      <c r="E31">
        <v>1</v>
      </c>
      <c r="F31">
        <v>3</v>
      </c>
      <c r="G31">
        <v>0</v>
      </c>
      <c r="H31">
        <v>2</v>
      </c>
      <c r="I31">
        <v>8</v>
      </c>
      <c r="J31">
        <v>3</v>
      </c>
      <c r="K31">
        <v>1</v>
      </c>
      <c r="L31">
        <v>3</v>
      </c>
      <c r="M31">
        <v>0</v>
      </c>
      <c r="N31">
        <v>1</v>
      </c>
      <c r="O31">
        <v>4</v>
      </c>
      <c r="P31">
        <v>4</v>
      </c>
      <c r="Q31">
        <v>2</v>
      </c>
      <c r="R31">
        <v>5</v>
      </c>
      <c r="S31">
        <f t="shared" si="0"/>
        <v>52</v>
      </c>
    </row>
    <row r="32" spans="1:19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  <c r="Q32">
        <v>0</v>
      </c>
      <c r="R32">
        <v>0</v>
      </c>
      <c r="S32">
        <f t="shared" si="0"/>
        <v>4</v>
      </c>
    </row>
    <row r="33" spans="1:19" x14ac:dyDescent="0.25">
      <c r="A33">
        <v>0</v>
      </c>
      <c r="B33">
        <v>3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f t="shared" si="0"/>
        <v>5</v>
      </c>
    </row>
    <row r="34" spans="1:19" x14ac:dyDescent="0.25">
      <c r="A34">
        <v>1</v>
      </c>
      <c r="B34">
        <v>1</v>
      </c>
      <c r="C34">
        <v>0</v>
      </c>
      <c r="D34">
        <v>2</v>
      </c>
      <c r="E34">
        <v>0</v>
      </c>
      <c r="F34">
        <v>3</v>
      </c>
      <c r="G34">
        <v>2</v>
      </c>
      <c r="H34">
        <v>1</v>
      </c>
      <c r="I34">
        <v>0</v>
      </c>
      <c r="J34">
        <v>0</v>
      </c>
      <c r="K34">
        <v>4</v>
      </c>
      <c r="L34">
        <v>1</v>
      </c>
      <c r="M34">
        <v>2</v>
      </c>
      <c r="N34">
        <v>0</v>
      </c>
      <c r="O34">
        <v>2</v>
      </c>
      <c r="P34">
        <v>1</v>
      </c>
      <c r="Q34">
        <v>0</v>
      </c>
      <c r="R34">
        <v>2</v>
      </c>
      <c r="S34">
        <f t="shared" si="0"/>
        <v>22</v>
      </c>
    </row>
    <row r="35" spans="1:19" x14ac:dyDescent="0.25">
      <c r="A35">
        <v>0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3</v>
      </c>
      <c r="J35">
        <v>1</v>
      </c>
      <c r="K35">
        <v>0</v>
      </c>
      <c r="L35">
        <v>0</v>
      </c>
      <c r="M35">
        <v>0</v>
      </c>
      <c r="N35">
        <v>1</v>
      </c>
      <c r="O35">
        <v>1</v>
      </c>
      <c r="P35">
        <v>3</v>
      </c>
      <c r="Q35">
        <v>1</v>
      </c>
      <c r="R35">
        <v>2</v>
      </c>
      <c r="S35">
        <f t="shared" si="0"/>
        <v>14</v>
      </c>
    </row>
    <row r="36" spans="1:19" x14ac:dyDescent="0.25">
      <c r="A36">
        <v>1</v>
      </c>
      <c r="B36">
        <v>3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0</v>
      </c>
      <c r="R36">
        <v>1</v>
      </c>
      <c r="S36">
        <f t="shared" si="0"/>
        <v>9</v>
      </c>
    </row>
    <row r="37" spans="1:19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1</v>
      </c>
      <c r="N37">
        <v>0</v>
      </c>
      <c r="O37">
        <v>1</v>
      </c>
      <c r="P37">
        <v>1</v>
      </c>
      <c r="Q37">
        <v>0</v>
      </c>
      <c r="R37">
        <v>0</v>
      </c>
      <c r="S37">
        <f t="shared" si="0"/>
        <v>6</v>
      </c>
    </row>
    <row r="38" spans="1:19" x14ac:dyDescent="0.25">
      <c r="A38">
        <v>1</v>
      </c>
      <c r="B38">
        <v>4</v>
      </c>
      <c r="C38">
        <v>0</v>
      </c>
      <c r="D38">
        <v>0</v>
      </c>
      <c r="E38">
        <v>0</v>
      </c>
      <c r="F38">
        <v>1</v>
      </c>
      <c r="G38">
        <v>0</v>
      </c>
      <c r="H38">
        <v>4</v>
      </c>
      <c r="I38">
        <v>3</v>
      </c>
      <c r="J38">
        <v>0</v>
      </c>
      <c r="K38">
        <v>3</v>
      </c>
      <c r="L38">
        <v>4</v>
      </c>
      <c r="M38">
        <v>1</v>
      </c>
      <c r="N38">
        <v>0</v>
      </c>
      <c r="O38">
        <v>1</v>
      </c>
      <c r="P38">
        <v>2</v>
      </c>
      <c r="Q38">
        <v>3</v>
      </c>
      <c r="R38">
        <v>3</v>
      </c>
      <c r="S38">
        <f t="shared" si="0"/>
        <v>30</v>
      </c>
    </row>
    <row r="39" spans="1:19" x14ac:dyDescent="0.25">
      <c r="A39">
        <v>0</v>
      </c>
      <c r="B39">
        <v>0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f t="shared" si="0"/>
        <v>7</v>
      </c>
    </row>
    <row r="40" spans="1:19" x14ac:dyDescent="0.25">
      <c r="A40">
        <f t="shared" ref="A40:R40" si="1">SUM(A2:A39)</f>
        <v>44</v>
      </c>
      <c r="B40">
        <f t="shared" si="1"/>
        <v>46</v>
      </c>
      <c r="C40">
        <f t="shared" si="1"/>
        <v>47</v>
      </c>
      <c r="D40">
        <f t="shared" si="1"/>
        <v>49</v>
      </c>
      <c r="E40">
        <f t="shared" si="1"/>
        <v>26</v>
      </c>
      <c r="F40">
        <f t="shared" si="1"/>
        <v>46</v>
      </c>
      <c r="G40">
        <f t="shared" si="1"/>
        <v>15</v>
      </c>
      <c r="H40">
        <f t="shared" si="1"/>
        <v>48</v>
      </c>
      <c r="I40">
        <f t="shared" si="1"/>
        <v>51</v>
      </c>
      <c r="J40">
        <f t="shared" si="1"/>
        <v>52</v>
      </c>
      <c r="K40">
        <f t="shared" si="1"/>
        <v>54</v>
      </c>
      <c r="L40">
        <f t="shared" si="1"/>
        <v>45</v>
      </c>
      <c r="M40">
        <f t="shared" si="1"/>
        <v>46</v>
      </c>
      <c r="N40">
        <f t="shared" si="1"/>
        <v>22</v>
      </c>
      <c r="O40">
        <f t="shared" si="1"/>
        <v>63</v>
      </c>
      <c r="P40">
        <f t="shared" si="1"/>
        <v>57</v>
      </c>
      <c r="Q40">
        <f t="shared" si="1"/>
        <v>49</v>
      </c>
      <c r="R40">
        <f t="shared" si="1"/>
        <v>73</v>
      </c>
      <c r="S40">
        <f>SUM(A40:R40)</f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2024-26 yrs</vt:lpstr>
      <vt:lpstr>Dengue-Month wise- 2024</vt:lpstr>
      <vt:lpstr>Dengue-Month wise- 2025</vt:lpstr>
      <vt:lpstr>Dengue-Month wise- 2026</vt:lpstr>
      <vt:lpstr>Sheet1</vt:lpstr>
      <vt:lpstr>'Dengue-Month wise- 2024'!Print_Area</vt:lpstr>
      <vt:lpstr>'Dengue-Month wise- 2025'!Print_Area</vt:lpstr>
      <vt:lpstr>'Dengue-Month wise- 2026'!Print_Area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DPH-CML-Report</dc:creator>
  <cp:lastModifiedBy>DPH-CML-Report</cp:lastModifiedBy>
  <dcterms:created xsi:type="dcterms:W3CDTF">2026-06-19T10:27:29Z</dcterms:created>
  <dcterms:modified xsi:type="dcterms:W3CDTF">2026-06-19T12:02:00Z</dcterms:modified>
</cp:coreProperties>
</file>